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ec\Downloads\"/>
    </mc:Choice>
  </mc:AlternateContent>
  <xr:revisionPtr revIDLastSave="0" documentId="13_ncr:1_{3254DEC8-18F8-4615-90B9-309B0B94076A}" xr6:coauthVersionLast="47" xr6:coauthVersionMax="47" xr10:uidLastSave="{00000000-0000-0000-0000-000000000000}"/>
  <bookViews>
    <workbookView xWindow="-103" yWindow="-103" windowWidth="16663" windowHeight="8863" xr2:uid="{00000000-000D-0000-FFFF-FFFF00000000}"/>
  </bookViews>
  <sheets>
    <sheet name="PRINCIPAL" sheetId="2" r:id="rId1"/>
    <sheet name="cartones_series" sheetId="3" r:id="rId2"/>
    <sheet name="numeros_carton" sheetId="5" r:id="rId3"/>
  </sheets>
  <functionGroups builtInGroupCount="19"/>
  <definedNames>
    <definedName name="_xlnm.Print_Area" localSheetId="0">PRINCIPAL!$A$5:$V$40</definedName>
    <definedName name="CARTON1" localSheetId="0">PRINCIPAL!$B$7:$J$9</definedName>
    <definedName name="CARTON1">#REF!</definedName>
    <definedName name="CARTON2" localSheetId="0">PRINCIPAL!$M$7:$U$9</definedName>
    <definedName name="CARTON2">#REF!</definedName>
    <definedName name="CARTON3" localSheetId="0">PRINCIPAL!$B$13:$J$15</definedName>
    <definedName name="CARTON3">#REF!</definedName>
    <definedName name="CARTON4" localSheetId="0">PRINCIPAL!$M$13:$U$15</definedName>
    <definedName name="CARTON4">#REF!</definedName>
    <definedName name="CARTON5" localSheetId="0">PRINCIPAL!$B$19:$J$21</definedName>
    <definedName name="CARTON5">#REF!</definedName>
    <definedName name="CARTON6" localSheetId="0">PRINCIPAL!$M$19:$U$21</definedName>
    <definedName name="CARTON6">#REF!</definedName>
    <definedName name="Conectar_con_nuevo_origen_de_datos" localSheetId="1">cartones_series!$F$1:$F$1</definedName>
    <definedName name="DELANTE_ATRAS">PRINCIPAL!$A$5:$V$40</definedName>
    <definedName name="HOJA_SERIE">PRINCIPAL!$A$5:$V$22</definedName>
    <definedName name="HOJA_TRASERA">PRINCIPAL!$A$23:$V$40</definedName>
    <definedName name="lbl_num_serie" localSheetId="0">PRINCIPAL!$G$5</definedName>
    <definedName name="NUM_HOJAS" localSheetId="0">PRINCIPAL!$P$2</definedName>
    <definedName name="NUM_HOJAS">#REF!</definedName>
    <definedName name="num_serie" localSheetId="0">PRINCIPAL!$I$5</definedName>
    <definedName name="NUMS_CARTONES">PRINCIPAL!$J$9,PRINCIPAL!$I$6,PRINCIPAL!$T$6,PRINCIPAL!$I$12,PRINCIPAL!$T$12,PRINCIPAL!$I$18,PRINCIPAL!$T$18</definedName>
    <definedName name="tabla1">cartones_series!#REF!</definedName>
    <definedName name="tbl_cartones_series" localSheetId="1">"A:B"</definedName>
    <definedName name="TODOS_CARTONES" localSheetId="0">PRINCIPAL!$B$7:$J$9,PRINCIPAL!$M$7:$U$9,PRINCIPAL!$B$13:$J$15,PRINCIPAL!$M$13:$U$15,PRINCIPAL!$B$19:$J$21,PRINCIPAL!$M$19:$U$21</definedName>
    <definedName name="TODOS_CARTONES">#REF!,#REF!,#REF!,#REF!,#REF!,#REF!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2" l="1"/>
  <c r="V17" i="2"/>
  <c r="L5" i="2"/>
  <c r="M5" i="2"/>
  <c r="T5" i="2"/>
  <c r="V5" i="2"/>
  <c r="A11" i="2"/>
  <c r="B11" i="2"/>
  <c r="I11" i="2"/>
  <c r="K11" i="2"/>
  <c r="L11" i="2"/>
  <c r="M11" i="2"/>
  <c r="T11" i="2"/>
  <c r="V11" i="2"/>
  <c r="A17" i="2"/>
  <c r="B17" i="2"/>
  <c r="I17" i="2"/>
  <c r="K17" i="2"/>
  <c r="L17" i="2"/>
  <c r="M17" i="2"/>
  <c r="T17" i="2"/>
  <c r="G17" i="2" l="1"/>
  <c r="R17" i="2"/>
  <c r="R5" i="2"/>
  <c r="G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davecas89@hotmail.com</author>
    <author>David Carrasco Aguado</author>
  </authors>
  <commentList>
    <comment ref="K1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davecas89@hotmail.com: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4" authorId="1" shapeId="0" xr:uid="{93675BEA-8A9B-4F89-90AA-630005A3B311}">
      <text>
        <r>
          <rPr>
            <b/>
            <sz val="9"/>
            <color indexed="81"/>
            <rFont val="Tahoma"/>
            <family val="2"/>
          </rPr>
          <t xml:space="preserve">Para insertar un emoji, en Windows 10 pulsa la tecla del símbolo de Windows + ".".
Al crear los cartones, se usará este emoji en los espacios vacíos sin números.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dell\Documents\Mis archivos de origen de datos\CARTONES BETA 1 tabla1.odc" name="CARTONES BETA 1 tabla1" type="1" refreshedVersion="1" savePassword="1" background="1" saveData="1">
    <dbPr connection="DSN=Excel Files;DBQ=C:\USERS\dell\Desktop\CARTONES BETA 1.xls;DefaultDir=C:\USERS\dell\Desktop;DriverId=790;MaxBufferSize=2048;PageTimeout=5;" command="SELECT * FROM `C:\USERS\dell\Desktop\CARTONES BETA 1`.`tabla1`"/>
  </connection>
</connections>
</file>

<file path=xl/sharedStrings.xml><?xml version="1.0" encoding="utf-8"?>
<sst xmlns="http://schemas.openxmlformats.org/spreadsheetml/2006/main" count="394" uniqueCount="236">
  <si>
    <t>BINGO</t>
  </si>
  <si>
    <t>GENERADOR DE CARTONES DE BINGO 90 BOLAS</t>
  </si>
  <si>
    <t>carton</t>
  </si>
  <si>
    <t>numero</t>
  </si>
  <si>
    <t>num_serie</t>
  </si>
  <si>
    <t>DISEÑO</t>
  </si>
  <si>
    <t>GENERAR NUEVOS</t>
  </si>
  <si>
    <t>1</t>
  </si>
  <si>
    <t>X,,X,X,,,X,X,;X,,X,,X,,,X,X;,X,,X,,X,X,,X</t>
  </si>
  <si>
    <t>,X,X,,X,X,,,X;,X,,X,X,,X,X,;X,,X,X,,X,X,,</t>
  </si>
  <si>
    <t>IMPRESIÓN</t>
  </si>
  <si>
    <t>EMOJI PARA ESPACIOS VACÍOS ▼</t>
  </si>
  <si>
    <t>X,,,X,,X,,X,X;,X,X,,X,X,,,X;,X,,X,X,,X,X,</t>
  </si>
  <si>
    <t>X,X,,X,,X,,,X;X,,X,,,X,X,,X;,X,,X,X,,X,X,</t>
  </si>
  <si>
    <t>,X,X,,X,,X,X,;X,,X,,X,,,X,X;,X,,X,,X,X,,X</t>
  </si>
  <si>
    <t>,X,,,X,X,,X,X;X,,X,X,,X,,,X;X,,X,,X,,X,X,</t>
  </si>
  <si>
    <t>X,X,,X,,X,X,,;,X,X,,X,X,,X,;X,,X,,X,,X,,X</t>
  </si>
  <si>
    <t>2</t>
  </si>
  <si>
    <t>X,,,X,X,,,X,X;,,X,X,,X,X,,X;X,X,,,X,,X,X,</t>
  </si>
  <si>
    <t>,X,,X,,X,,X,X;,X,,X,X,,X,,X;X,,X,,X,X,,X,</t>
  </si>
  <si>
    <t>X,X,,,X,,X,,X;,X,X,,X,,X,X,;,,X,X,,X,,X,X</t>
  </si>
  <si>
    <t>,X,,X,,X,,X,X;X,,X,X,,,X,,X;,X,X,,X,X,,X,</t>
  </si>
  <si>
    <t>X,X,,X,,X,,,X;,,X,X,,X,X,,X;X,,X,,X,,X,X,</t>
  </si>
  <si>
    <t>,,X,X,,X,,X,X;,X,X,,X,X,,X,;X,X,,X,,,X,,X</t>
  </si>
  <si>
    <t>3</t>
  </si>
  <si>
    <t>,X,,X,X,,X,,X;X,,X,X,,X,,,X;,X,X,,X,,X,X,</t>
  </si>
  <si>
    <t>X,,,X,,X,,X,X;X,,X,,X,,X,X,;,X,X,,X,X,,,X</t>
  </si>
  <si>
    <t>,X,,,X,X,,X,X;,X,,X,X,,X,X,;X,,X,X,,,X,,X</t>
  </si>
  <si>
    <t>X,,X,,X,X,,X,;X,X,,,X,,X,X,;,,X,X,,X,X,,X</t>
  </si>
  <si>
    <t>,X,,X,,X,X,,X;X,X,,,X,X,,,X;X,,X,X,,,X,X,</t>
  </si>
  <si>
    <t>,X,,X,X,,,X,X;X,,X,X,,,X,X,;,X,X,,X,X,,,X</t>
  </si>
  <si>
    <t>4</t>
  </si>
  <si>
    <t>X,,X,,,X,,X,X;,X,X,,X,X,,,X;,X,,X,X,,X,X,</t>
  </si>
  <si>
    <t>,X,,X,,X,X,,X;X,X,,X,,X,,,X;X,,X,,X,,X,X,</t>
  </si>
  <si>
    <t>X,,,X,X,,,X,X;X,X,,X,,,X,X,;,X,X,,,X,X,,X</t>
  </si>
  <si>
    <t>X,X,,,X,X,,,X;X,,X,,X,,X,X,;,,X,X,,X,X,,X</t>
  </si>
  <si>
    <t>X,,,X,X,,X,X,;,,X,X,,X,X,,X;,X,X,,X,X,,X,</t>
  </si>
  <si>
    <t>🎄</t>
  </si>
  <si>
    <t>,,X,X,,X,X,,X;X,X,,,X,,X,X,;,X,X,,,X,,X,X</t>
  </si>
  <si>
    <t>5</t>
  </si>
  <si>
    <t>X,,X,X,,X,X,,;,X,,X,,X,,X,X;,X,X,,X,,X,,X</t>
  </si>
  <si>
    <t>X,,X,,X,,,X,X;X,X,,X,X,,X,,;,X,,X,,X,,X,X</t>
  </si>
  <si>
    <t>X,X,,,X,,X,,X;,,X,X,,X,X,,X;,X,X,,X,X,,X,</t>
  </si>
  <si>
    <t>X,,X,X,,X,X,,;X,,,X,X,,X,X,;,X,X,,X,,,X,X</t>
  </si>
  <si>
    <t>X,X,,,X,X,,X,;X,,,X,X,,X,,X;,,X,X,,X,,X,X</t>
  </si>
  <si>
    <t>,X,X,,X,X,,X,;,,X,X,,X,X,,X;X,X,,X,,,X,,X</t>
  </si>
  <si>
    <t>6</t>
  </si>
  <si>
    <t>X,,X,X,,,X,X,;X,X,,X,X,,X,,;,,X,,X,X,,X,X</t>
  </si>
  <si>
    <t>,X,X,,X,X,,,X;,,X,X,,X,,X,X;X,X,,,X,,X,X,</t>
  </si>
  <si>
    <t>X,,X,X,,,X,X,;X,X,,,X,,X,,X;,X,X,,,X,,X,X</t>
  </si>
  <si>
    <t>,X,,X,X,,X,X,;,X,,,X,X,,X,X;X,,X,X,,X,,,X</t>
  </si>
  <si>
    <t>X,,,X,,X,X,,X;,X,X,,X,X,,X,;X,,,X,X,,X,,X</t>
  </si>
  <si>
    <t>,X,X,,X,,X,X,;X,,,X,,X,,X,X;,X,,X,,X,X,,X</t>
  </si>
  <si>
    <t>7</t>
  </si>
  <si>
    <t>,,X,,X,X,,X,X;X,X,,X,X,,,X,;,,X,X,,X,X,,X</t>
  </si>
  <si>
    <t>,X,,,X,X,,X,X;,X,,X,X,,X,X,;X,,X,,,X,X,,X</t>
  </si>
  <si>
    <t>X,X,,X,,,X,X,;X,,X,X,,X,,,X;,X,X,,X,,X,,X</t>
  </si>
  <si>
    <t>X,,,X,X,,X,X,;X,,X,X,,,X,,X;,X,X,,X,X,,,X</t>
  </si>
  <si>
    <t>X,,X,,,X,X,,X;,X,X,,X,X,,X,;X,X,,X,X,,,X,</t>
  </si>
  <si>
    <t>X,,X,X,,,X,X,;,X,X,,,X,X,,X;,X,,,X,X,,X,X</t>
  </si>
  <si>
    <t>8</t>
  </si>
  <si>
    <t>X,X,,,X,,,X,X;X,,,X,X,,X,X,;,,X,X,,X,X,,X</t>
  </si>
  <si>
    <t>X,,X,,X,X,,,X;X,,X,,,X,,X,X;,X,,X,X,,X,X,</t>
  </si>
  <si>
    <t>,,X,X,,X,X,,X;,X,X,,X,,,X,X;X,X,,X,X,,X,,</t>
  </si>
  <si>
    <t>X,X,,X,X,,,X,;,X,X,,X,X,,X,;X,,,X,,X,X,,X</t>
  </si>
  <si>
    <t>,X,,X,X,,X,X,;X,,X,X,,X,,,X;,X,X,,,X,X,,X</t>
  </si>
  <si>
    <t>X,X,,X,,,X,X,;X,,,X,X,,,X,X;,X,X,,,X,X,,X</t>
  </si>
  <si>
    <t>9</t>
  </si>
  <si>
    <t>,,X,X,,X,,X,X;,X,X,,X,X,,X,;X,,,X,X,,X,,X</t>
  </si>
  <si>
    <t>X,,,X,X,,X,X,;X,,X,,,X,,X,X;,X,X,,X,X,,,X</t>
  </si>
  <si>
    <t>,,X,X,,X,X,,X;X,X,,,X,,X,,X;,X,X,,X,X,,X,</t>
  </si>
  <si>
    <t>X,X,,X,X,,X,,;,X,,,X,X,,X,X;X,,X,X,,,X,X,</t>
  </si>
  <si>
    <t>,,X,X,,X,X,,X;X,X,,X,X,,X,,;,X,X,,,X,,X,X</t>
  </si>
  <si>
    <t>,X,X,,X,X,,X,;,X,,X,,X,X,,X;X,,X,,X,,,X,X</t>
  </si>
  <si>
    <t>10</t>
  </si>
  <si>
    <t>X,X,,X,,X,,X,;,,X,X,,X,X,,X;,X,X,,X,,X,,X</t>
  </si>
  <si>
    <t>X,,,X,,X,X,,X;X,,X,,X,,,X,X;,X,,X,X,,X,X,</t>
  </si>
  <si>
    <t>X,,,X,,X,X,,X;,X,,X,,X,,X,X;X,,X,,X,,X,X,</t>
  </si>
  <si>
    <t>,X,X,,X,,X,X,;X,X,,,X,,X,,X;X,,X,X,,X,,X,</t>
  </si>
  <si>
    <t>,X,X,,X,X,,,X;X,,X,X,,X,X,,;,X,,X,X,,,X,X</t>
  </si>
  <si>
    <t>X,,,X,X,,X,,X;,,X,,X,X,,X,X;X,X,,X,,X,,X,</t>
  </si>
  <si>
    <t>11</t>
  </si>
  <si>
    <t>X,,X,X,,,X,X,;,X,X,,X,,,X,X;,X,,X,,X,X,,X</t>
  </si>
  <si>
    <t>X,X,,X,,,X,X,;X,,X,,X,X,,X,;,,X,X,,X,X,,X</t>
  </si>
  <si>
    <t>,X,X,,X,X,,X,;X,,,X,,X,X,,X;X,X,,,X,,X,,X</t>
  </si>
  <si>
    <t>,,X,X,,X,X,,X;,X,X,,X,,,X,X;X,X,,,X,,X,X,</t>
  </si>
  <si>
    <t>,,X,X,,X,X,,X;,X,X,,X,X,,,X;X,X,,X,X,,,X,</t>
  </si>
  <si>
    <t>X,,,X,X,,X,X,;X,X,,X,,X,,,X;,,X,,X,X,,X,X</t>
  </si>
  <si>
    <t>12</t>
  </si>
  <si>
    <t>,,X,X,,X,X,,X;,X,,,X,X,,X,X;X,X,,X,X,,,X,</t>
  </si>
  <si>
    <t>,,X,X,,X,X,,X;X,X,,X,X,,X,,;,X,X,,X,X,,X,</t>
  </si>
  <si>
    <t>,X,X,,X,,X,X,;,X,,X,,X,,X,X;X,,X,,,X,X,,X</t>
  </si>
  <si>
    <t>X,,X,X,,,X,X,;,X,X,,,X,,X,X;X,X,,,X,,X,,X</t>
  </si>
  <si>
    <t>X,,,X,X,,X,X,;X,,X,X,,X,,,X;,X,X,,X,,X,,X</t>
  </si>
  <si>
    <t>X,,X,X,,X,,X,;X,X,,X,,,X,X,;,X,X,,X,,X,,X</t>
  </si>
  <si>
    <t>13</t>
  </si>
  <si>
    <t>,,X,X,,X,X,,X;,X,,X,X,,X,,X;X,,X,,X,X,,X,</t>
  </si>
  <si>
    <t>,X,X,,X,X,,,X;,X,,X,X,,X,X,;X,,X,,,X,X,,X</t>
  </si>
  <si>
    <t>,X,,,X,X,,X,X;X,X,,X,,,X,X,;X,,X,X,,X,,,X</t>
  </si>
  <si>
    <t>X,,,X,X,,,X,X;X,,X,,,X,X,,X;,X,X,,X,X,,X,</t>
  </si>
  <si>
    <t>,X,,X,,X,,X,X;X,,,X,X,,X,,X;,X,X,,X,,X,X,</t>
  </si>
  <si>
    <t>X,,X,,X,,X,X,;,,X,X,,X,X,,X;,X,,,X,X,,X,X</t>
  </si>
  <si>
    <t>14</t>
  </si>
  <si>
    <t>X,,X,X,,X,,,X;,X,X,,X,,,X,X;X,X,,X,,,X,X,</t>
  </si>
  <si>
    <t>,X,,X,,X,X,,X;,,X,,X,X,,X,X;X,,,X,X,,X,X,</t>
  </si>
  <si>
    <t>,X,X,,X,,X,X,;X,,X,X,,,X,,X;X,X,,X,,X,,,X</t>
  </si>
  <si>
    <t>X,X,,X,X,,X,,;,X,,X,,X,X,,X;,,X,,X,X,,X,X</t>
  </si>
  <si>
    <t>X,X,,X,,,X,X,;,,X,X,,X,X,,X;X,,X,,X,X,,,X</t>
  </si>
  <si>
    <t>15</t>
  </si>
  <si>
    <t>X,,,X,,X,X,,X;,X,X,,X,,,X,X;X,,,X,X,,X,X,</t>
  </si>
  <si>
    <t>,X,,,X,X,,X,X;,X,X,,X,,X,X,;X,,X,X,,X,X,,</t>
  </si>
  <si>
    <t>,X,X,,X,,,X,X;X,X,,,X,,X,X,;,,X,X,,X,X,,X</t>
  </si>
  <si>
    <t>X,X,,X,,,X,X,;,X,X,,X,X,,,X;X,,,X,,X,,X,X</t>
  </si>
  <si>
    <t>X,,,X,X,,X,X,;X,,X,X,,,X,,X;,X,X,,,X,,X,X</t>
  </si>
  <si>
    <t>16</t>
  </si>
  <si>
    <t>,X,X,,X,X,,X,;X,X,,,X,,X,X,;,,X,X,,X,X,,X</t>
  </si>
  <si>
    <t>X,,,X,X,,,X,X;,,X,X,,X,X,,X;,X,X,,X,X,,X,</t>
  </si>
  <si>
    <t>X,X,,,X,,X,,X;,,X,X,,X,,X,X;X,X,,,X,X,,X,</t>
  </si>
  <si>
    <t>X,X,,X,,X,X,,;,X,,X,X,,,X,X;X,,X,,X,,X,,X</t>
  </si>
  <si>
    <t>,X,,X,X,,X,X,;,X,X,,,X,X,,X;X,,X,X,,X,,,X</t>
  </si>
  <si>
    <t>X,,,X,X,,X,X,;,,X,,X,X,,X,X;X,X,,X,,,X,,X</t>
  </si>
  <si>
    <t>17</t>
  </si>
  <si>
    <t>,X,X,,X,X,,X,;,X,,X,X,,,X,X;X,,X,,,X,X,,X</t>
  </si>
  <si>
    <t>,X,,X,X,,,X,X;X,,X,,,X,X,,X;,X,X,,X,X,,X,</t>
  </si>
  <si>
    <t>X,X,,X,,,X,X,;,X,X,,X,X,,,X;X,,,X,,X,X,,X</t>
  </si>
  <si>
    <t>X,X,,X,,X,X,,;X,,X,X,,X,,,X;,X,X,,X,,X,X,</t>
  </si>
  <si>
    <t>X,,,X,X,,,X,X;,,X,X,,X,X,,X;,X,X,,X,,X,X,</t>
  </si>
  <si>
    <t>,X,X,,,X,X,,X;X,,,X,X,,,X,X;,X,X,,X,,X,X,</t>
  </si>
  <si>
    <t>18</t>
  </si>
  <si>
    <t>X,X,,X,X,,X,,;X,,X,,X,,X,X,;,,X,X,,X,,X,X</t>
  </si>
  <si>
    <t>,X,X,,X,,,X,X;,,X,X,,X,X,,X;X,X,,X,,X,,X,</t>
  </si>
  <si>
    <t>X,X,,,X,X,,X,;X,,X,X,,,X,,X;,X,,X,,X,X,,X</t>
  </si>
  <si>
    <t>,,X,,X,X,,X,X;X,,X,,,X,X,,X;X,X,,X,X,,X,,</t>
  </si>
  <si>
    <t>,,X,X,,X,X,,X;,X,X,,X,,X,X,;X,X,,X,X,,,X,</t>
  </si>
  <si>
    <t>19</t>
  </si>
  <si>
    <t>X,X,,,X,,X,X,;X,,X,X,,,X,,X;,X,X,,X,X,,,X</t>
  </si>
  <si>
    <t>,X,,X,X,,X,,X;,,X,X,,X,,X,X;X,,X,,X,X,,X,</t>
  </si>
  <si>
    <t>,X,,,X,X,,X,X;X,X,,X,,,X,,X;X,,X,X,,X,X,,</t>
  </si>
  <si>
    <t>X,X,,X,,,X,X,;,X,,X,,X,X,,X;,,X,,X,X,,X,X</t>
  </si>
  <si>
    <t>X,X,,X,,,X,X,;,X,X,,X,,,X,X;X,,X,X,,X,X,,</t>
  </si>
  <si>
    <t>20</t>
  </si>
  <si>
    <t>,X,X,,X,X,,,X;X,X,,X,,,X,X,;X,,X,,,X,X,,X</t>
  </si>
  <si>
    <t>,X,,,X,X,,X,X;,X,,X,X,,X,,X;X,,X,X,,X,X,,</t>
  </si>
  <si>
    <t>X,,X,,X,,,X,X;X,X,,X,,X,X,,;,,X,,X,X,,X,X</t>
  </si>
  <si>
    <t>,X,,,X,X,,X,X;,,X,X,,X,X,,X;X,,,X,X,,X,X,</t>
  </si>
  <si>
    <t>,X,,X,X,,,X,X;,X,X,,X,X,,,X;X,,X,X,,,X,X,</t>
  </si>
  <si>
    <t>X,,,X,,X,X,,X;X,X,,X,,X,,,X;,X,X,,X,,X,X,</t>
  </si>
  <si>
    <t>21</t>
  </si>
  <si>
    <t>,X,X,,X,,X,,X;X,X,,X,X,,X,,;X,,X,,,X,,X,X</t>
  </si>
  <si>
    <t>,X,,,X,X,,X,X;,X,,X,X,,X,X,;X,,X,X,,X,X,,</t>
  </si>
  <si>
    <t>,X,X,,X,,X,X,;X,,,X,X,,,X,X;X,,X,X,,X,,,X</t>
  </si>
  <si>
    <t>X,,,X,,X,X,,X;,X,X,,X,,X,X,;,,X,X,,X,,X,X</t>
  </si>
  <si>
    <t>X,X,,,X,X,,,X;,X,X,,,X,,X,X;X,,,X,X,,X,X,</t>
  </si>
  <si>
    <t>22</t>
  </si>
  <si>
    <t>X,,,X,X,,X,,X;,X,X,,X,,X,X,;,,X,X,,X,,X,X</t>
  </si>
  <si>
    <t>,X,,X,X,,X,,X;X,,X,X,,X,,,X;,X,X,,X,X,,X,</t>
  </si>
  <si>
    <t>,,X,X,,X,,X,X;X,X,,,X,,X,,X;,X,X,,X,,X,X,</t>
  </si>
  <si>
    <t>X,,X,X,,,X,,X;,X,,X,,X,X,,X;X,X,,,X,X,,X,</t>
  </si>
  <si>
    <t>X,,,X,,X,X,,X;X,,X,X,,X,,X,;,X,X,,X,,X,X,</t>
  </si>
  <si>
    <t>,X,,X,X,,X,X,;,X,X,,X,X,,X,;X,,X,,,X,X,,X</t>
  </si>
  <si>
    <t>23</t>
  </si>
  <si>
    <t>,X,X,,X,,,X,X;X,X,,,X,X,,,X;X,,X,X,,,X,X,</t>
  </si>
  <si>
    <t>,,X,X,,X,X,,X;X,X,,X,,,X,X,;,X,X,,X,X,,,X</t>
  </si>
  <si>
    <t>X,X,,X,X,,X,,;,X,X,,X,X,,,X;X,,,X,,X,,X,X</t>
  </si>
  <si>
    <t>,X,,X,X,,X,X,;X,,,X,,X,,X,X;X,,X,,,X,X,,X</t>
  </si>
  <si>
    <t>,,X,X,,X,X,,X;,X,X,,,X,,X,X;X,X,,,X,,X,X,</t>
  </si>
  <si>
    <t>24</t>
  </si>
  <si>
    <t>X,X,,X,,,X,X,;,X,X,,X,X,,,X;X,,,X,X,,X,,X</t>
  </si>
  <si>
    <t>,X,X,,X,,,X,X;X,,X,X,,X,,,X;X,,,X,X,,X,X,</t>
  </si>
  <si>
    <t>,,X,X,,X,X,,X;X,,,X,X,,X,X,;,X,X,,X,X,,X,</t>
  </si>
  <si>
    <t>X,,,X,,X,,X,X;X,X,,X,X,,X,,;,X,X,,X,X,,,X</t>
  </si>
  <si>
    <t>,X,X,,,X,,X,X;,,X,X,,X,X,,X;X,X,,,X,,X,X,</t>
  </si>
  <si>
    <t>,X,X,,X,,X,X,;X,,,X,,X,X,,X;,X,,X,,X,,X,X</t>
  </si>
  <si>
    <t>25</t>
  </si>
  <si>
    <t>,,X,,X,X,,X,X;X,,X,X,,X,X,,;X,X,,,X,,X,X,</t>
  </si>
  <si>
    <t>,X,X,,X,X,,,X;,X,,X,X,,,X,X;X,,X,X,,X,X,,</t>
  </si>
  <si>
    <t>X,,X,,X,X,,,X;,X,X,,X,,X,X,;X,,,X,,X,,X,X</t>
  </si>
  <si>
    <t>,X,X,,X,,,X,X;X,X,,X,,X,X,,;X,,X,X,,,X,,X</t>
  </si>
  <si>
    <t>,X,,X,X,,X,,X;,,X,X,,X,,X,X;X,X,,,X,,X,X,</t>
  </si>
  <si>
    <t>X,,X,,,X,,X,X;X,X,,X,X,,,X,;,,X,X,,X,X,,X</t>
  </si>
  <si>
    <t>26</t>
  </si>
  <si>
    <t>X,X,,X,,X,X,,;,X,,X,,X,,X,X;X,,X,,X,,X,X,</t>
  </si>
  <si>
    <t>,,X,,X,X,,X,X;,X,,X,X,,X,X,;X,,X,X,,,X,,X</t>
  </si>
  <si>
    <t>X,X,,,X,X,,X,;,X,X,,X,,,X,X;X,,X,X,,,X,,X</t>
  </si>
  <si>
    <t>,X,,X,X,,X,,X;,,X,X,,X,X,,X;X,X,,,X,X,,X,</t>
  </si>
  <si>
    <t>27</t>
  </si>
  <si>
    <t>,X,X,,X,,,X,X;X,X,,X,,X,,X,;X,,X,,X,,X,,X</t>
  </si>
  <si>
    <t>X,X,,X,X,,X,,;,X,,X,,X,X,,X;X,,X,,X,X,,X,</t>
  </si>
  <si>
    <t>,,X,X,,X,X,,X;,X,X,,,X,,X,X;X,,,X,X,,X,X,</t>
  </si>
  <si>
    <t>X,,X,,X,,X,X,;,X,,X,,X,X,,X;,X,X,,,X,,X,X</t>
  </si>
  <si>
    <t>X,X,,X,,X,X,,;,X,,X,X,,X,,X;X,,X,,X,,,X,X</t>
  </si>
  <si>
    <t>X,,,X,X,,X,X,;X,,X,X,,X,X,,;,X,X,,X,,,X,X</t>
  </si>
  <si>
    <t>28</t>
  </si>
  <si>
    <t>,,X,X,,X,X,,X;X,,,X,X,,X,X,;,X,X,,,X,,X,X</t>
  </si>
  <si>
    <t>,,X,X,,X,X,,X;X,X,,X,,,X,,X;,X,X,,X,X,,X,</t>
  </si>
  <si>
    <t>,X,X,,X,,,X,X;X,X,,X,X,,X,,;X,,X,,,X,,X,X</t>
  </si>
  <si>
    <t>,X,X,,,X,X,,X;X,X,,,X,X,,,X;X,,,X,X,,X,X,</t>
  </si>
  <si>
    <t>,,X,,X,X,,X,X;X,X,,X,X,,X,,;,X,,X,,X,,X,X</t>
  </si>
  <si>
    <t>,X,X,,X,,,X,X;X,,,X,X,,X,X,;,X,X,,,X,X,,X</t>
  </si>
  <si>
    <t>29</t>
  </si>
  <si>
    <t>X,X,,,X,,X,,X;,,X,X,,X,X,,X;X,X,,,X,X,,X,</t>
  </si>
  <si>
    <t>X,,X,X,,X,,X,;,X,X,,,X,X,,X;,X,,X,X,,X,,X</t>
  </si>
  <si>
    <t>,,X,X,,X,,X,X;X,,X,,,X,X,,X;X,X,,X,X,,,X,</t>
  </si>
  <si>
    <t>X,,X,,X,,,X,X;,,X,X,,X,X,,X;,X,,X,X,,X,X,</t>
  </si>
  <si>
    <t>X,,,X,X,,,X,X;,X,X,,X,X,,X,;X,X,,X,,X,X,,</t>
  </si>
  <si>
    <t>X,,,X,X,,,X,X;X,,X,X,,,X,X,;,X,X,,X,X,,,X</t>
  </si>
  <si>
    <t>30</t>
  </si>
  <si>
    <t>,X,X,,X,,X,X,;,X,,,X,X,,X,X;X,,X,X,,,X,,X</t>
  </si>
  <si>
    <t>X,X,,,X,,,X,X;X,,X,X,,X,,X,;,X,,X,,X,X,,X</t>
  </si>
  <si>
    <t>X,X,,,X,,X,X,;,X,X,,X,X,,X,;X,,,X,,X,X,,X</t>
  </si>
  <si>
    <t>,X,,X,X,,X,,X;,,X,X,,X,X,,X;X,,X,,X,X,,X,</t>
  </si>
  <si>
    <t>X,X,,X,,,X,X,;,X,X,,X,X,,,X;,,X,X,,X,X,,X</t>
  </si>
  <si>
    <t>2,14,32,50,88;20,38,54,60,89;9,22,46,63,75</t>
  </si>
  <si>
    <t>10,30,53,72,82;11,31,42,67,85;8,23,48,59,76</t>
  </si>
  <si>
    <t>4,34,43,71,80;24,37,51,61,81;7,12,47,69,73</t>
  </si>
  <si>
    <t>1,15,35,52,62;19,25,41,56,74;3,26,49,66,83</t>
  </si>
  <si>
    <t>13,33,57,70,86;6,27,39,65,87;17,29,45,58,79</t>
  </si>
  <si>
    <t>5,16,40,64,84;18,21,44,68,77;28,36,55,78,90</t>
  </si>
  <si>
    <t>3,12,42,52,70;8,30,47,60,80;23,34,54,73,88</t>
  </si>
  <si>
    <t>4,11,44,66,81;20,36,51,69,86;16,28,49,57,78</t>
  </si>
  <si>
    <t>5,22,37,56,65;7,39,40,68,75;18,24,41,79,90</t>
  </si>
  <si>
    <t>26,35,58,64,82;2,10,46,67,72;19,29,59,74,87</t>
  </si>
  <si>
    <t>1,21,31,50,62;15,38,55,76,85;17,25,45,63,89</t>
  </si>
  <si>
    <t>6,27,43,71,83;9,13,32,48,61;14,33,53,77,84</t>
  </si>
  <si>
    <t>3,16,41,57,82;19,29,58,71,89;4,39,43,63,73</t>
  </si>
  <si>
    <t>22,30,52,75,85;7,10,40,66,86;12,26,48,69,77</t>
  </si>
  <si>
    <t>5,25,34,64,83;14,35,54,68,87;8,17,46,55,74</t>
  </si>
  <si>
    <t>1,32,50,60,81;6,21,33,56,70;15,24,44,65,76</t>
  </si>
  <si>
    <t>2,31,45,62,80;18,23,49,67,78;27,37,59,79,84</t>
  </si>
  <si>
    <t>11,36,42,61,88;9,20,38,51,90;13,28,47,53,72</t>
  </si>
  <si>
    <t>21,33,50,61,80;6,11,45,69,83;13,22,48,52,78</t>
  </si>
  <si>
    <t>1,14,30,64,71;3,34,44,72,82;19,27,53,66,90</t>
  </si>
  <si>
    <t>2,36,47,65,76;8,24,55,77,81;10,29,49,58,86</t>
  </si>
  <si>
    <t>4,15,31,41,62;16,46,57,73,84;7,26,37,67,74</t>
  </si>
  <si>
    <t>20,32,51,75,87;17,25,40,54,79;9,39,42,63,88</t>
  </si>
  <si>
    <t>23,35,56,60,85;5,12,38,43,68;18,28,59,70,89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</si>
</sst>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0000#;&quot;-&quot;"/>
    <numFmt numFmtId="166" formatCode=";&quot;&quot;;&quot;&quot;;@"/>
    <numFmt numFmtId="167" formatCode="&quot;&quot;;&quot;&quot;;&quot;&quot;;@"/>
  </numFmts>
  <fonts count="22" x14ac:knownFonts="1">
    <font>
      <sz val="10"/>
      <name val="Arial"/>
    </font>
    <font>
      <sz val="10"/>
      <name val="Arial"/>
    </font>
    <font>
      <sz val="8"/>
      <name val="Arial"/>
    </font>
    <font>
      <b/>
      <sz val="18"/>
      <color indexed="44"/>
      <name val="Bookman Old Style"/>
      <family val="1"/>
    </font>
    <font>
      <b/>
      <sz val="10"/>
      <name val="Arial"/>
      <family val="2"/>
    </font>
    <font>
      <b/>
      <sz val="14"/>
      <color indexed="15"/>
      <name val="Bookman Old Style"/>
      <family val="1"/>
    </font>
    <font>
      <sz val="14"/>
      <name val="Arial"/>
    </font>
    <font>
      <sz val="12"/>
      <color indexed="9"/>
      <name val="Arial"/>
    </font>
    <font>
      <u/>
      <sz val="10"/>
      <name val="Arial"/>
    </font>
    <font>
      <sz val="16"/>
      <color indexed="18"/>
      <name val="Bookman Old Style"/>
      <family val="1"/>
    </font>
    <font>
      <u/>
      <sz val="16"/>
      <color indexed="18"/>
      <name val="Bookman Old Style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  <family val="2"/>
    </font>
    <font>
      <sz val="30"/>
      <name val="Arial"/>
      <family val="2"/>
    </font>
    <font>
      <b/>
      <sz val="9"/>
      <color indexed="81"/>
      <name val="Tahoma"/>
      <family val="2"/>
    </font>
    <font>
      <sz val="12"/>
      <color rgb="FF630909"/>
      <name val="DejaVu Serif Condensed"/>
      <family val="1"/>
    </font>
    <font>
      <sz val="16"/>
      <color rgb="FF630909"/>
      <name val="DejaVu Serif Condensed"/>
      <family val="1"/>
    </font>
    <font>
      <b/>
      <sz val="18"/>
      <color rgb="FF630909"/>
      <name val="DejaVu Serif Condensed"/>
      <family val="1"/>
    </font>
    <font>
      <sz val="10"/>
      <color rgb="FF630909"/>
      <name val="DejaVu Serif Condensed"/>
      <family val="1"/>
    </font>
    <font>
      <u/>
      <sz val="16"/>
      <color rgb="FF630909"/>
      <name val="DejaVu Serif Condensed"/>
      <family val="1"/>
    </font>
    <font>
      <b/>
      <sz val="22"/>
      <name val="DejaVu Serif Condensed"/>
      <family val="1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lightVertical">
        <fgColor indexed="63"/>
        <bgColor indexed="18"/>
      </patternFill>
    </fill>
    <fill>
      <patternFill patternType="solid">
        <fgColor rgb="FFFFFFFF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/>
      <right style="medium">
        <color indexed="9"/>
      </right>
      <top/>
      <bottom/>
      <diagonal/>
    </border>
    <border>
      <left style="double">
        <color indexed="23"/>
      </left>
      <right style="double">
        <color indexed="64"/>
      </right>
      <top style="double">
        <color indexed="23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23"/>
      </top>
      <bottom style="double">
        <color indexed="64"/>
      </bottom>
      <diagonal/>
    </border>
    <border>
      <left style="double">
        <color indexed="64"/>
      </left>
      <right style="double">
        <color indexed="23"/>
      </right>
      <top style="double">
        <color indexed="23"/>
      </top>
      <bottom style="double">
        <color indexed="64"/>
      </bottom>
      <diagonal/>
    </border>
    <border>
      <left style="double">
        <color indexed="23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23"/>
      </right>
      <top style="double">
        <color indexed="64"/>
      </top>
      <bottom style="double">
        <color indexed="64"/>
      </bottom>
      <diagonal/>
    </border>
    <border>
      <left style="double">
        <color indexed="23"/>
      </left>
      <right style="double">
        <color indexed="64"/>
      </right>
      <top style="double">
        <color indexed="64"/>
      </top>
      <bottom style="double">
        <color indexed="2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23"/>
      </bottom>
      <diagonal/>
    </border>
    <border>
      <left style="double">
        <color indexed="64"/>
      </left>
      <right style="double">
        <color indexed="23"/>
      </right>
      <top style="double">
        <color indexed="64"/>
      </top>
      <bottom style="double">
        <color indexed="23"/>
      </bottom>
      <diagonal/>
    </border>
    <border>
      <left/>
      <right style="mediumDashed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/>
      <right/>
      <top style="medium">
        <color indexed="9"/>
      </top>
      <bottom/>
      <diagonal/>
    </border>
    <border>
      <left/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/>
      <bottom style="double">
        <color indexed="23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medium">
        <color indexed="64"/>
      </right>
      <top style="mediumDashed">
        <color indexed="64"/>
      </top>
      <bottom/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medium">
        <color indexed="9"/>
      </bottom>
      <diagonal/>
    </border>
    <border>
      <left/>
      <right/>
      <top style="thin">
        <color indexed="64"/>
      </top>
      <bottom style="medium">
        <color indexed="9"/>
      </bottom>
      <diagonal/>
    </border>
    <border>
      <left/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 style="medium">
        <color indexed="9"/>
      </left>
      <right/>
      <top/>
      <bottom style="medium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 style="medium">
        <color indexed="9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4" fillId="0" borderId="0" xfId="0" applyFont="1"/>
    <xf numFmtId="49" fontId="0" fillId="0" borderId="0" xfId="0" applyNumberFormat="1"/>
    <xf numFmtId="0" fontId="4" fillId="2" borderId="1" xfId="0" applyFont="1" applyFill="1" applyBorder="1" applyAlignment="1">
      <alignment horizontal="center"/>
    </xf>
    <xf numFmtId="49" fontId="0" fillId="0" borderId="0" xfId="0" quotePrefix="1" applyNumberFormat="1"/>
    <xf numFmtId="0" fontId="0" fillId="0" borderId="0" xfId="0" applyAlignment="1">
      <alignment horizontal="left"/>
    </xf>
    <xf numFmtId="0" fontId="8" fillId="0" borderId="0" xfId="0" applyFont="1"/>
    <xf numFmtId="49" fontId="0" fillId="0" borderId="1" xfId="0" applyNumberFormat="1" applyBorder="1" applyAlignment="1">
      <alignment horizontal="center"/>
    </xf>
    <xf numFmtId="0" fontId="7" fillId="4" borderId="46" xfId="0" applyFont="1" applyFill="1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6" xfId="0" applyBorder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0" fillId="0" borderId="0" xfId="0" applyBorder="1" applyAlignment="1">
      <alignment horizontal="left" vertical="top" wrapText="1" indent="1"/>
    </xf>
    <xf numFmtId="1" fontId="21" fillId="0" borderId="5" xfId="0" applyNumberFormat="1" applyFont="1" applyFill="1" applyBorder="1" applyAlignment="1" applyProtection="1">
      <alignment horizontal="center" vertical="center"/>
      <protection locked="0"/>
    </xf>
    <xf numFmtId="1" fontId="21" fillId="0" borderId="6" xfId="0" applyNumberFormat="1" applyFont="1" applyFill="1" applyBorder="1" applyAlignment="1" applyProtection="1">
      <alignment horizontal="center" vertical="center"/>
      <protection locked="0"/>
    </xf>
    <xf numFmtId="1" fontId="21" fillId="0" borderId="7" xfId="0" applyNumberFormat="1" applyFont="1" applyFill="1" applyBorder="1" applyAlignment="1" applyProtection="1">
      <alignment horizontal="center" vertical="center"/>
      <protection locked="0"/>
    </xf>
    <xf numFmtId="1" fontId="21" fillId="0" borderId="8" xfId="0" applyNumberFormat="1" applyFont="1" applyFill="1" applyBorder="1" applyAlignment="1" applyProtection="1">
      <alignment horizontal="center" vertical="center"/>
      <protection locked="0"/>
    </xf>
    <xf numFmtId="1" fontId="21" fillId="0" borderId="9" xfId="0" applyNumberFormat="1" applyFont="1" applyFill="1" applyBorder="1" applyAlignment="1" applyProtection="1">
      <alignment horizontal="center" vertical="center"/>
      <protection locked="0"/>
    </xf>
    <xf numFmtId="1" fontId="21" fillId="0" borderId="10" xfId="0" applyNumberFormat="1" applyFont="1" applyFill="1" applyBorder="1" applyAlignment="1" applyProtection="1">
      <alignment horizontal="center" vertical="center"/>
      <protection locked="0"/>
    </xf>
    <xf numFmtId="1" fontId="21" fillId="0" borderId="11" xfId="0" applyNumberFormat="1" applyFont="1" applyFill="1" applyBorder="1" applyAlignment="1" applyProtection="1">
      <alignment horizontal="center" vertical="center"/>
      <protection locked="0"/>
    </xf>
    <xf numFmtId="1" fontId="21" fillId="0" borderId="12" xfId="0" applyNumberFormat="1" applyFont="1" applyFill="1" applyBorder="1" applyAlignment="1" applyProtection="1">
      <alignment horizontal="center" vertical="center"/>
      <protection locked="0"/>
    </xf>
    <xf numFmtId="1" fontId="21" fillId="0" borderId="13" xfId="0" applyNumberFormat="1" applyFont="1" applyFill="1" applyBorder="1" applyAlignment="1" applyProtection="1">
      <alignment horizontal="center" vertical="center"/>
      <protection locked="0"/>
    </xf>
    <xf numFmtId="0" fontId="17" fillId="5" borderId="2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17" fillId="5" borderId="20" xfId="1" applyNumberFormat="1" applyFont="1" applyFill="1" applyBorder="1" applyAlignment="1" applyProtection="1">
      <alignment horizontal="center" vertical="center" textRotation="255" shrinkToFit="1"/>
      <protection locked="0"/>
    </xf>
    <xf numFmtId="0" fontId="3" fillId="4" borderId="33" xfId="0" applyFont="1" applyFill="1" applyBorder="1" applyAlignment="1">
      <alignment horizontal="left" vertical="center" wrapText="1" indent="1"/>
    </xf>
    <xf numFmtId="0" fontId="3" fillId="4" borderId="34" xfId="0" applyFont="1" applyFill="1" applyBorder="1" applyAlignment="1">
      <alignment horizontal="left" vertical="center" wrapText="1" indent="1"/>
    </xf>
    <xf numFmtId="0" fontId="3" fillId="4" borderId="35" xfId="0" applyFont="1" applyFill="1" applyBorder="1" applyAlignment="1">
      <alignment horizontal="left" vertical="center" wrapText="1" indent="1"/>
    </xf>
    <xf numFmtId="0" fontId="3" fillId="4" borderId="36" xfId="0" applyFont="1" applyFill="1" applyBorder="1" applyAlignment="1">
      <alignment horizontal="left" vertical="center" wrapText="1" indent="1"/>
    </xf>
    <xf numFmtId="0" fontId="3" fillId="4" borderId="0" xfId="0" applyFont="1" applyFill="1" applyBorder="1" applyAlignment="1">
      <alignment horizontal="left" vertical="center" wrapText="1" indent="1"/>
    </xf>
    <xf numFmtId="0" fontId="3" fillId="4" borderId="4" xfId="0" applyFont="1" applyFill="1" applyBorder="1" applyAlignment="1">
      <alignment horizontal="left" vertical="center" wrapText="1" indent="1"/>
    </xf>
    <xf numFmtId="49" fontId="16" fillId="5" borderId="31" xfId="0" applyNumberFormat="1" applyFont="1" applyFill="1" applyBorder="1" applyAlignment="1" applyProtection="1">
      <alignment horizontal="justify" vertical="center" textRotation="180" wrapText="1"/>
      <protection locked="0"/>
    </xf>
    <xf numFmtId="49" fontId="16" fillId="5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49" fontId="16" fillId="5" borderId="24" xfId="0" applyNumberFormat="1" applyFont="1" applyFill="1" applyBorder="1" applyAlignment="1" applyProtection="1">
      <alignment horizontal="justify" vertical="center" textRotation="180" wrapText="1"/>
      <protection locked="0"/>
    </xf>
    <xf numFmtId="49" fontId="16" fillId="5" borderId="0" xfId="0" applyNumberFormat="1" applyFont="1" applyFill="1" applyBorder="1" applyAlignment="1" applyProtection="1">
      <alignment horizontal="justify" vertical="center" textRotation="180" wrapText="1"/>
      <protection locked="0"/>
    </xf>
    <xf numFmtId="49" fontId="16" fillId="5" borderId="1" xfId="0" applyNumberFormat="1" applyFont="1" applyFill="1" applyBorder="1" applyAlignment="1" applyProtection="1">
      <alignment horizontal="justify" vertical="center" textRotation="180" wrapText="1"/>
      <protection locked="0"/>
    </xf>
    <xf numFmtId="0" fontId="17" fillId="5" borderId="22" xfId="1" applyNumberFormat="1" applyFont="1" applyFill="1" applyBorder="1" applyAlignment="1" applyProtection="1">
      <alignment horizontal="center" vertical="center" textRotation="255" shrinkToFit="1"/>
      <protection locked="0"/>
    </xf>
    <xf numFmtId="0" fontId="17" fillId="5" borderId="23" xfId="1" applyNumberFormat="1" applyFont="1" applyFill="1" applyBorder="1" applyAlignment="1" applyProtection="1">
      <alignment horizontal="center" vertical="center" textRotation="255" shrinkToFit="1"/>
      <protection locked="0"/>
    </xf>
    <xf numFmtId="49" fontId="16" fillId="5" borderId="14" xfId="0" applyNumberFormat="1" applyFont="1" applyFill="1" applyBorder="1" applyAlignment="1" applyProtection="1">
      <alignment horizontal="justify" vertical="center" textRotation="180" wrapText="1"/>
      <protection locked="0"/>
    </xf>
    <xf numFmtId="49" fontId="16" fillId="5" borderId="25" xfId="0" applyNumberFormat="1" applyFont="1" applyFill="1" applyBorder="1" applyAlignment="1" applyProtection="1">
      <alignment horizontal="justify" vertical="center" textRotation="180" wrapText="1"/>
      <protection locked="0"/>
    </xf>
    <xf numFmtId="0" fontId="17" fillId="5" borderId="21" xfId="1" applyNumberFormat="1" applyFont="1" applyFill="1" applyBorder="1" applyAlignment="1" applyProtection="1">
      <alignment horizontal="center" vertical="center" textRotation="255" shrinkToFit="1"/>
      <protection locked="0"/>
    </xf>
    <xf numFmtId="0" fontId="18" fillId="5" borderId="24" xfId="0" applyNumberFormat="1" applyFont="1" applyFill="1" applyBorder="1" applyAlignment="1" applyProtection="1">
      <alignment horizontal="left" vertical="center" indent="1" shrinkToFit="1"/>
      <protection locked="0"/>
    </xf>
    <xf numFmtId="0" fontId="18" fillId="5" borderId="0" xfId="0" applyNumberFormat="1" applyFont="1" applyFill="1" applyBorder="1" applyAlignment="1" applyProtection="1">
      <alignment horizontal="left" vertical="center" indent="1" shrinkToFit="1"/>
      <protection locked="0"/>
    </xf>
    <xf numFmtId="167" fontId="16" fillId="5" borderId="24" xfId="0" applyNumberFormat="1" applyFont="1" applyFill="1" applyBorder="1" applyAlignment="1" applyProtection="1">
      <alignment horizontal="right" vertical="center"/>
      <protection locked="0"/>
    </xf>
    <xf numFmtId="167" fontId="19" fillId="5" borderId="24" xfId="0" applyNumberFormat="1" applyFont="1" applyFill="1" applyBorder="1" applyAlignment="1" applyProtection="1">
      <alignment horizontal="right" vertical="center"/>
      <protection locked="0"/>
    </xf>
    <xf numFmtId="167" fontId="19" fillId="5" borderId="37" xfId="0" applyNumberFormat="1" applyFont="1" applyFill="1" applyBorder="1" applyAlignment="1" applyProtection="1">
      <alignment horizontal="right" vertical="center"/>
      <protection locked="0"/>
    </xf>
    <xf numFmtId="0" fontId="19" fillId="5" borderId="1" xfId="0" applyFont="1" applyFill="1" applyBorder="1" applyAlignment="1" applyProtection="1">
      <alignment horizontal="center"/>
      <protection locked="0"/>
    </xf>
    <xf numFmtId="0" fontId="5" fillId="4" borderId="40" xfId="0" applyFont="1" applyFill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51" xfId="0" applyFont="1" applyBorder="1" applyAlignment="1">
      <alignment horizontal="center" vertical="center" wrapText="1"/>
    </xf>
    <xf numFmtId="0" fontId="19" fillId="5" borderId="0" xfId="0" applyFont="1" applyFill="1" applyBorder="1" applyAlignment="1" applyProtection="1">
      <alignment horizontal="center"/>
      <protection locked="0"/>
    </xf>
    <xf numFmtId="0" fontId="13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167" fontId="16" fillId="5" borderId="37" xfId="0" applyNumberFormat="1" applyFont="1" applyFill="1" applyBorder="1" applyAlignment="1" applyProtection="1">
      <alignment horizontal="right" vertical="center"/>
      <protection locked="0"/>
    </xf>
    <xf numFmtId="165" fontId="16" fillId="5" borderId="24" xfId="0" applyNumberFormat="1" applyFont="1" applyFill="1" applyBorder="1" applyAlignment="1" applyProtection="1">
      <alignment horizontal="left" vertical="center" indent="1"/>
      <protection locked="0"/>
    </xf>
    <xf numFmtId="0" fontId="19" fillId="5" borderId="37" xfId="0" applyFont="1" applyFill="1" applyBorder="1" applyAlignment="1" applyProtection="1">
      <alignment horizontal="left" vertical="center" indent="1"/>
      <protection locked="0"/>
    </xf>
    <xf numFmtId="0" fontId="5" fillId="4" borderId="43" xfId="0" applyFont="1" applyFill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7" fillId="4" borderId="36" xfId="0" applyFont="1" applyFill="1" applyBorder="1" applyAlignment="1">
      <alignment horizontal="left" vertical="top" wrapText="1" indent="1"/>
    </xf>
    <xf numFmtId="0" fontId="7" fillId="0" borderId="0" xfId="0" applyFont="1" applyBorder="1" applyAlignment="1">
      <alignment horizontal="left" vertical="top" wrapText="1" indent="1"/>
    </xf>
    <xf numFmtId="0" fontId="7" fillId="0" borderId="4" xfId="0" applyFont="1" applyBorder="1" applyAlignment="1">
      <alignment horizontal="left" vertical="top" wrapText="1" indent="1"/>
    </xf>
    <xf numFmtId="0" fontId="7" fillId="0" borderId="36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wrapText="1" indent="1"/>
    </xf>
    <xf numFmtId="0" fontId="5" fillId="4" borderId="47" xfId="0" applyFont="1" applyFill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0" fillId="0" borderId="48" xfId="0" applyBorder="1" applyAlignment="1"/>
    <xf numFmtId="0" fontId="0" fillId="0" borderId="49" xfId="0" applyBorder="1" applyAlignment="1"/>
    <xf numFmtId="0" fontId="7" fillId="4" borderId="36" xfId="0" applyFont="1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/>
    <xf numFmtId="0" fontId="0" fillId="0" borderId="4" xfId="0" applyBorder="1" applyAlignment="1"/>
    <xf numFmtId="0" fontId="0" fillId="0" borderId="3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Border="1" applyAlignment="1"/>
    <xf numFmtId="49" fontId="16" fillId="5" borderId="28" xfId="0" applyNumberFormat="1" applyFont="1" applyFill="1" applyBorder="1" applyAlignment="1" applyProtection="1">
      <alignment horizontal="justify" vertical="center" textRotation="180" wrapText="1"/>
      <protection locked="0"/>
    </xf>
    <xf numFmtId="49" fontId="16" fillId="5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0" fontId="18" fillId="5" borderId="19" xfId="0" applyNumberFormat="1" applyFont="1" applyFill="1" applyBorder="1" applyAlignment="1" applyProtection="1">
      <alignment horizontal="left" vertical="center" indent="1" shrinkToFit="1"/>
      <protection locked="0"/>
    </xf>
    <xf numFmtId="0" fontId="17" fillId="5" borderId="26" xfId="1" applyNumberFormat="1" applyFont="1" applyFill="1" applyBorder="1" applyAlignment="1" applyProtection="1">
      <alignment horizontal="center" vertical="center" textRotation="255" shrinkToFit="1"/>
      <protection locked="0"/>
    </xf>
    <xf numFmtId="0" fontId="17" fillId="5" borderId="1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17" fillId="5" borderId="50" xfId="1" applyNumberFormat="1" applyFont="1" applyFill="1" applyBorder="1" applyAlignment="1" applyProtection="1">
      <alignment horizontal="center" vertical="center" textRotation="255" shrinkToFit="1"/>
      <protection locked="0"/>
    </xf>
    <xf numFmtId="166" fontId="16" fillId="5" borderId="19" xfId="0" applyNumberFormat="1" applyFont="1" applyFill="1" applyBorder="1" applyAlignment="1" applyProtection="1">
      <alignment horizontal="right" vertical="center"/>
      <protection locked="0"/>
    </xf>
    <xf numFmtId="166" fontId="19" fillId="5" borderId="19" xfId="0" applyNumberFormat="1" applyFont="1" applyFill="1" applyBorder="1" applyAlignment="1" applyProtection="1">
      <alignment horizontal="right" vertical="center"/>
      <protection locked="0"/>
    </xf>
    <xf numFmtId="166" fontId="19" fillId="5" borderId="37" xfId="0" applyNumberFormat="1" applyFont="1" applyFill="1" applyBorder="1" applyAlignment="1" applyProtection="1">
      <alignment horizontal="right" vertical="center"/>
      <protection locked="0"/>
    </xf>
    <xf numFmtId="165" fontId="16" fillId="5" borderId="19" xfId="0" applyNumberFormat="1" applyFont="1" applyFill="1" applyBorder="1" applyAlignment="1" applyProtection="1">
      <alignment horizontal="left" vertical="center" indent="1"/>
      <protection locked="0"/>
    </xf>
    <xf numFmtId="164" fontId="9" fillId="3" borderId="22" xfId="1" applyFont="1" applyFill="1" applyBorder="1" applyAlignment="1" applyProtection="1">
      <alignment horizontal="center" textRotation="255" shrinkToFit="1"/>
      <protection locked="0"/>
    </xf>
    <xf numFmtId="0" fontId="0" fillId="0" borderId="24" xfId="0" applyBorder="1" applyAlignment="1"/>
    <xf numFmtId="0" fontId="0" fillId="0" borderId="31" xfId="0" applyBorder="1" applyAlignment="1"/>
    <xf numFmtId="0" fontId="0" fillId="0" borderId="20" xfId="0" applyBorder="1" applyAlignment="1"/>
    <xf numFmtId="0" fontId="0" fillId="0" borderId="15" xfId="0" applyBorder="1" applyAlignment="1"/>
    <xf numFmtId="0" fontId="0" fillId="0" borderId="21" xfId="0" applyBorder="1" applyAlignment="1"/>
    <xf numFmtId="0" fontId="0" fillId="0" borderId="1" xfId="0" applyBorder="1" applyAlignment="1"/>
    <xf numFmtId="0" fontId="0" fillId="0" borderId="16" xfId="0" applyBorder="1" applyAlignment="1"/>
    <xf numFmtId="164" fontId="9" fillId="3" borderId="38" xfId="1" applyFont="1" applyFill="1" applyBorder="1" applyAlignment="1" applyProtection="1">
      <alignment horizontal="center" textRotation="255" shrinkToFit="1"/>
      <protection locked="0"/>
    </xf>
    <xf numFmtId="0" fontId="0" fillId="0" borderId="39" xfId="0" applyBorder="1" applyAlignment="1"/>
    <xf numFmtId="0" fontId="0" fillId="0" borderId="17" xfId="0" applyBorder="1" applyAlignment="1"/>
    <xf numFmtId="0" fontId="0" fillId="0" borderId="29" xfId="0" applyBorder="1" applyAlignment="1"/>
    <xf numFmtId="0" fontId="0" fillId="0" borderId="18" xfId="0" applyBorder="1" applyAlignment="1"/>
    <xf numFmtId="0" fontId="0" fillId="0" borderId="30" xfId="0" applyBorder="1" applyAlignment="1"/>
    <xf numFmtId="0" fontId="16" fillId="5" borderId="19" xfId="0" applyFont="1" applyFill="1" applyBorder="1" applyAlignment="1" applyProtection="1">
      <alignment horizontal="right" vertical="center"/>
      <protection locked="0"/>
    </xf>
    <xf numFmtId="0" fontId="19" fillId="5" borderId="19" xfId="0" applyFont="1" applyFill="1" applyBorder="1" applyAlignment="1" applyProtection="1">
      <alignment horizontal="right" vertical="center"/>
      <protection locked="0"/>
    </xf>
    <xf numFmtId="0" fontId="19" fillId="5" borderId="37" xfId="0" applyFont="1" applyFill="1" applyBorder="1" applyAlignment="1" applyProtection="1">
      <alignment horizontal="right" vertical="center"/>
      <protection locked="0"/>
    </xf>
    <xf numFmtId="0" fontId="17" fillId="5" borderId="3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17" fillId="5" borderId="1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0" fillId="5" borderId="3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0" fillId="5" borderId="1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0" fillId="0" borderId="27" xfId="0" applyBorder="1" applyAlignment="1" applyProtection="1">
      <protection locked="0"/>
    </xf>
    <xf numFmtId="0" fontId="0" fillId="0" borderId="19" xfId="0" applyBorder="1" applyAlignment="1"/>
    <xf numFmtId="0" fontId="0" fillId="0" borderId="14" xfId="0" applyBorder="1" applyAlignment="1"/>
    <xf numFmtId="0" fontId="0" fillId="0" borderId="23" xfId="0" applyBorder="1" applyAlignment="1"/>
    <xf numFmtId="0" fontId="0" fillId="0" borderId="32" xfId="0" applyBorder="1" applyAlignment="1"/>
    <xf numFmtId="0" fontId="0" fillId="0" borderId="25" xfId="0" applyBorder="1" applyAlignment="1"/>
    <xf numFmtId="164" fontId="9" fillId="3" borderId="26" xfId="1" applyFont="1" applyFill="1" applyBorder="1" applyAlignment="1" applyProtection="1">
      <alignment horizontal="center" textRotation="255" shrinkToFit="1"/>
      <protection locked="0"/>
    </xf>
    <xf numFmtId="0" fontId="0" fillId="0" borderId="28" xfId="0" applyBorder="1" applyAlignment="1"/>
    <xf numFmtId="0" fontId="0" fillId="0" borderId="50" xfId="0" applyBorder="1" applyAlignment="1"/>
    <xf numFmtId="0" fontId="0" fillId="0" borderId="52" xfId="0" applyBorder="1" applyAlignment="1"/>
    <xf numFmtId="164" fontId="10" fillId="3" borderId="38" xfId="1" applyFont="1" applyFill="1" applyBorder="1" applyAlignment="1" applyProtection="1">
      <alignment horizontal="center" vertical="center" textRotation="90" shrinkToFit="1"/>
      <protection locked="0"/>
    </xf>
    <xf numFmtId="49" fontId="16" fillId="5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16" fillId="5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16" fillId="5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0" fontId="16" fillId="5" borderId="30" xfId="0" applyNumberFormat="1" applyFont="1" applyFill="1" applyBorder="1" applyAlignment="1" applyProtection="1">
      <alignment horizontal="justify" vertical="center" textRotation="180" wrapText="1"/>
      <protection locked="0"/>
    </xf>
  </cellXfs>
  <cellStyles count="2">
    <cellStyle name="Euro" xfId="1" xr:uid="{00000000-0005-0000-0000-000000000000}"/>
    <cellStyle name="Normal" xfId="0" builtinId="0"/>
  </cellStyles>
  <dxfs count="1">
    <dxf>
      <fill>
        <gradientFill type="path" left="0.5" right="0.5" top="0.5" bottom="0.5">
          <stop position="0">
            <color rgb="FFFFFFFF"/>
          </stop>
          <stop position="1">
            <color rgb="FFC00000"/>
          </stop>
        </gradient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6009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AAAFC"/>
      <rgbColor rgb="00FFFF99"/>
      <rgbColor rgb="00C8D2FF"/>
      <rgbColor rgb="00FF99CC"/>
      <rgbColor rgb="00CC99FF"/>
      <rgbColor rgb="00FFCC99"/>
      <rgbColor rgb="003366CC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14B414"/>
      <color rgb="FFECF5E7"/>
      <color rgb="FF14A014"/>
      <color rgb="FF3C3CFC"/>
      <color rgb="FF4E63D2"/>
      <color rgb="FF3366FF"/>
      <color rgb="FF630909"/>
      <color rgb="FF820C0C"/>
      <color rgb="FFFFEA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310243</xdr:colOff>
          <xdr:row>3</xdr:row>
          <xdr:rowOff>5443</xdr:rowOff>
        </xdr:from>
        <xdr:to>
          <xdr:col>13</xdr:col>
          <xdr:colOff>119743</xdr:colOff>
          <xdr:row>3</xdr:row>
          <xdr:rowOff>636814</xdr:rowOff>
        </xdr:to>
        <xdr:sp macro="" textlink="">
          <xdr:nvSpPr>
            <xdr:cNvPr id="2049" name="btnCargarMuestr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473529</xdr:colOff>
          <xdr:row>3</xdr:row>
          <xdr:rowOff>21771</xdr:rowOff>
        </xdr:from>
        <xdr:to>
          <xdr:col>16</xdr:col>
          <xdr:colOff>48986</xdr:colOff>
          <xdr:row>3</xdr:row>
          <xdr:rowOff>631371</xdr:rowOff>
        </xdr:to>
        <xdr:sp macro="" textlink="">
          <xdr:nvSpPr>
            <xdr:cNvPr id="2050" name="btn_imprimi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527957</xdr:colOff>
          <xdr:row>3</xdr:row>
          <xdr:rowOff>163286</xdr:rowOff>
        </xdr:to>
        <xdr:sp macro="" textlink="">
          <xdr:nvSpPr>
            <xdr:cNvPr id="2054" name="btn_sel_margene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136071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58" name="btncelcarton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103414</xdr:colOff>
          <xdr:row>1</xdr:row>
          <xdr:rowOff>76200</xdr:rowOff>
        </xdr:from>
        <xdr:to>
          <xdr:col>18</xdr:col>
          <xdr:colOff>451757</xdr:colOff>
          <xdr:row>1</xdr:row>
          <xdr:rowOff>261257</xdr:rowOff>
        </xdr:to>
        <xdr:sp macro="" textlink="">
          <xdr:nvSpPr>
            <xdr:cNvPr id="2086" name="Label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108857</xdr:colOff>
          <xdr:row>2</xdr:row>
          <xdr:rowOff>27214</xdr:rowOff>
        </xdr:from>
        <xdr:to>
          <xdr:col>19</xdr:col>
          <xdr:colOff>10886</xdr:colOff>
          <xdr:row>3</xdr:row>
          <xdr:rowOff>16329</xdr:rowOff>
        </xdr:to>
        <xdr:sp macro="" textlink="">
          <xdr:nvSpPr>
            <xdr:cNvPr id="2087" name="label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484414</xdr:colOff>
          <xdr:row>1</xdr:row>
          <xdr:rowOff>87086</xdr:rowOff>
        </xdr:from>
        <xdr:to>
          <xdr:col>20</xdr:col>
          <xdr:colOff>299357</xdr:colOff>
          <xdr:row>1</xdr:row>
          <xdr:rowOff>266700</xdr:rowOff>
        </xdr:to>
        <xdr:sp macro="" textlink="">
          <xdr:nvSpPr>
            <xdr:cNvPr id="2088" name="lblNCArtones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484414</xdr:colOff>
          <xdr:row>2</xdr:row>
          <xdr:rowOff>21771</xdr:rowOff>
        </xdr:from>
        <xdr:to>
          <xdr:col>20</xdr:col>
          <xdr:colOff>299357</xdr:colOff>
          <xdr:row>3</xdr:row>
          <xdr:rowOff>38100</xdr:rowOff>
        </xdr:to>
        <xdr:sp macro="" textlink="">
          <xdr:nvSpPr>
            <xdr:cNvPr id="2091" name="lblNSeries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293914</xdr:rowOff>
        </xdr:from>
        <xdr:to>
          <xdr:col>20</xdr:col>
          <xdr:colOff>201386</xdr:colOff>
          <xdr:row>3</xdr:row>
          <xdr:rowOff>751114</xdr:rowOff>
        </xdr:to>
        <xdr:sp macro="" textlink="">
          <xdr:nvSpPr>
            <xdr:cNvPr id="2094" name="btn_generar_cartones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130629</xdr:colOff>
          <xdr:row>1</xdr:row>
          <xdr:rowOff>277586</xdr:rowOff>
        </xdr:from>
        <xdr:to>
          <xdr:col>13</xdr:col>
          <xdr:colOff>255814</xdr:colOff>
          <xdr:row>2</xdr:row>
          <xdr:rowOff>152400</xdr:rowOff>
        </xdr:to>
        <xdr:sp macro="" textlink="">
          <xdr:nvSpPr>
            <xdr:cNvPr id="2096" name="Label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277586</xdr:colOff>
          <xdr:row>2</xdr:row>
          <xdr:rowOff>0</xdr:rowOff>
        </xdr:from>
        <xdr:to>
          <xdr:col>16</xdr:col>
          <xdr:colOff>277586</xdr:colOff>
          <xdr:row>2</xdr:row>
          <xdr:rowOff>157843</xdr:rowOff>
        </xdr:to>
        <xdr:sp macro="" textlink="">
          <xdr:nvSpPr>
            <xdr:cNvPr id="2097" name="Label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390123</xdr:colOff>
      <xdr:row>22</xdr:row>
      <xdr:rowOff>0</xdr:rowOff>
    </xdr:from>
    <xdr:to>
      <xdr:col>10</xdr:col>
      <xdr:colOff>0</xdr:colOff>
      <xdr:row>28</xdr:row>
      <xdr:rowOff>0</xdr:rowOff>
    </xdr:to>
    <xdr:pic>
      <xdr:nvPicPr>
        <xdr:cNvPr id="13" name="Imagen 12" descr="Tarjetas Feliz Año Nuevo 2022 para desear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696" y="8871858"/>
          <a:ext cx="4385982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306777</xdr:colOff>
      <xdr:row>22</xdr:row>
      <xdr:rowOff>0</xdr:rowOff>
    </xdr:from>
    <xdr:to>
      <xdr:col>20</xdr:col>
      <xdr:colOff>441149</xdr:colOff>
      <xdr:row>28</xdr:row>
      <xdr:rowOff>0</xdr:rowOff>
    </xdr:to>
    <xdr:pic>
      <xdr:nvPicPr>
        <xdr:cNvPr id="14" name="Imagen 13" descr="Tarjetas Feliz Año Nuevo 2022 para desea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4562" y="8871858"/>
          <a:ext cx="4379802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390123</xdr:colOff>
      <xdr:row>28</xdr:row>
      <xdr:rowOff>0</xdr:rowOff>
    </xdr:from>
    <xdr:to>
      <xdr:col>10</xdr:col>
      <xdr:colOff>0</xdr:colOff>
      <xdr:row>34</xdr:row>
      <xdr:rowOff>1</xdr:rowOff>
    </xdr:to>
    <xdr:pic>
      <xdr:nvPicPr>
        <xdr:cNvPr id="15" name="Imagen 14" descr="Tarjetas Feliz Año Nuevo 2022 para dese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696" y="11348358"/>
          <a:ext cx="4385982" cy="2476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299359</xdr:colOff>
      <xdr:row>28</xdr:row>
      <xdr:rowOff>-1</xdr:rowOff>
    </xdr:from>
    <xdr:to>
      <xdr:col>20</xdr:col>
      <xdr:colOff>433731</xdr:colOff>
      <xdr:row>34</xdr:row>
      <xdr:rowOff>0</xdr:rowOff>
    </xdr:to>
    <xdr:pic>
      <xdr:nvPicPr>
        <xdr:cNvPr id="16" name="Imagen 15" descr="Tarjetas Feliz Año Nuevo 2022 para des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7144" y="11348357"/>
          <a:ext cx="4379802" cy="2476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380227</xdr:colOff>
      <xdr:row>34</xdr:row>
      <xdr:rowOff>0</xdr:rowOff>
    </xdr:from>
    <xdr:to>
      <xdr:col>9</xdr:col>
      <xdr:colOff>514597</xdr:colOff>
      <xdr:row>40</xdr:row>
      <xdr:rowOff>0</xdr:rowOff>
    </xdr:to>
    <xdr:pic>
      <xdr:nvPicPr>
        <xdr:cNvPr id="17" name="Imagen 16" descr="Tarjetas Feliz Año Nuevo 2022 para desear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98" y="13913922"/>
          <a:ext cx="4330319" cy="2493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296881</xdr:colOff>
      <xdr:row>34</xdr:row>
      <xdr:rowOff>0</xdr:rowOff>
    </xdr:from>
    <xdr:to>
      <xdr:col>20</xdr:col>
      <xdr:colOff>437433</xdr:colOff>
      <xdr:row>40</xdr:row>
      <xdr:rowOff>0</xdr:rowOff>
    </xdr:to>
    <xdr:pic>
      <xdr:nvPicPr>
        <xdr:cNvPr id="18" name="Imagen 17" descr="Tarjetas Feliz Año Nuevo 2022 para desear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7765" y="13913922"/>
          <a:ext cx="4336499" cy="2493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+Conectar con nuevo origen de datos" connectionId="1" xr16:uid="{00000000-0016-0000-0100-000000000000}" autoFormatId="16" applyNumberFormats="0" applyBorderFormats="0" applyFontFormats="1" applyPatternFormats="1" applyAlignmentFormats="0" applyWidthHeightFormats="0">
  <queryTableRefresh nextId="2">
    <queryTableFields count="1">
      <queryTableField id="1" name="id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FFFFFF"/>
      </a:dk1>
      <a:lt1>
        <a:sysClr val="window" lastClr="000000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00000" mc:Ignorable="a14" a14:legacySpreadsheetColorIndex="16">
            <a:alpha val="55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00000" mc:Ignorable="a14" a14:legacySpreadsheetColorIndex="16">
            <a:alpha val="55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E3D701-D385-41A0-B160-C415084EFD6D}">
  <we:reference id="wa104379279" version="2.1.0.0" store="es-ES" storeType="OMEX"/>
  <we:alternateReferences>
    <we:reference id="wa104379279" version="2.1.0.0" store="WA10437927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NCIPAL">
    <tabColor indexed="12"/>
  </sheetPr>
  <dimension ref="A1:AE140"/>
  <sheetViews>
    <sheetView showGridLines="0" tabSelected="1" topLeftCell="A4" zoomScale="70" zoomScaleNormal="70" zoomScaleSheetLayoutView="55" zoomScalePageLayoutView="25" workbookViewId="0">
      <selection activeCell="A5" sqref="A5:A10"/>
    </sheetView>
  </sheetViews>
  <sheetFormatPr baseColWidth="10" defaultRowHeight="12.45" x14ac:dyDescent="0.3"/>
  <cols>
    <col min="1" max="1" width="4.61328125" customWidth="1"/>
    <col min="2" max="10" width="7.4609375" customWidth="1"/>
    <col min="11" max="11" width="3.69140625" customWidth="1"/>
    <col min="12" max="12" width="4.61328125" customWidth="1"/>
    <col min="13" max="21" width="7.4609375" customWidth="1"/>
    <col min="22" max="22" width="3.69140625" customWidth="1"/>
    <col min="23" max="23" width="4.61328125" customWidth="1"/>
    <col min="24" max="24" width="12.23046875" customWidth="1"/>
    <col min="25" max="32" width="7.4609375" customWidth="1"/>
    <col min="33" max="33" width="3.69140625" customWidth="1"/>
    <col min="34" max="34" width="4.61328125" customWidth="1"/>
    <col min="35" max="43" width="7.4609375" customWidth="1"/>
    <col min="44" max="44" width="3.69140625" customWidth="1"/>
  </cols>
  <sheetData>
    <row r="1" spans="1:22" ht="18.45" customHeight="1" thickBot="1" x14ac:dyDescent="0.35">
      <c r="A1" s="27" t="s">
        <v>1</v>
      </c>
      <c r="B1" s="28"/>
      <c r="C1" s="28"/>
      <c r="D1" s="28"/>
      <c r="E1" s="29"/>
      <c r="F1" s="49" t="s">
        <v>5</v>
      </c>
      <c r="G1" s="50"/>
      <c r="H1" s="50"/>
      <c r="I1" s="50"/>
      <c r="J1" s="51"/>
      <c r="K1" s="71" t="s">
        <v>10</v>
      </c>
      <c r="L1" s="72"/>
      <c r="M1" s="72"/>
      <c r="N1" s="72"/>
      <c r="O1" s="72"/>
      <c r="P1" s="73"/>
      <c r="Q1" s="74"/>
      <c r="R1" s="63" t="s">
        <v>6</v>
      </c>
      <c r="S1" s="64"/>
      <c r="T1" s="64"/>
      <c r="U1" s="64"/>
      <c r="V1" s="65"/>
    </row>
    <row r="2" spans="1:22" ht="22.75" customHeight="1" x14ac:dyDescent="0.3">
      <c r="A2" s="30"/>
      <c r="B2" s="31"/>
      <c r="C2" s="31"/>
      <c r="D2" s="31"/>
      <c r="E2" s="32"/>
      <c r="F2" s="11"/>
      <c r="G2" s="12"/>
      <c r="H2" s="55" t="s">
        <v>11</v>
      </c>
      <c r="I2" s="56"/>
      <c r="J2" s="57"/>
      <c r="K2" s="75"/>
      <c r="L2" s="76"/>
      <c r="M2" s="76"/>
      <c r="N2" s="77"/>
      <c r="O2" s="77"/>
      <c r="P2" s="77"/>
      <c r="Q2" s="78"/>
      <c r="R2" s="66"/>
      <c r="S2" s="67"/>
      <c r="T2" s="67"/>
      <c r="U2" s="67"/>
      <c r="V2" s="68"/>
    </row>
    <row r="3" spans="1:22" ht="12.9" customHeight="1" thickBot="1" x14ac:dyDescent="0.35">
      <c r="A3" s="30"/>
      <c r="B3" s="31"/>
      <c r="C3" s="31"/>
      <c r="D3" s="31"/>
      <c r="E3" s="32"/>
      <c r="F3" s="13"/>
      <c r="G3" s="14"/>
      <c r="H3" s="58"/>
      <c r="I3" s="58"/>
      <c r="J3" s="59"/>
      <c r="K3" s="79"/>
      <c r="L3" s="80"/>
      <c r="M3" s="80"/>
      <c r="N3" s="77"/>
      <c r="O3" s="77"/>
      <c r="P3" s="77"/>
      <c r="Q3" s="78"/>
      <c r="R3" s="69"/>
      <c r="S3" s="70"/>
      <c r="T3" s="70"/>
      <c r="U3" s="70"/>
      <c r="V3" s="68"/>
    </row>
    <row r="4" spans="1:22" ht="59.7" customHeight="1" thickBot="1" x14ac:dyDescent="0.35">
      <c r="A4" s="30"/>
      <c r="B4" s="31"/>
      <c r="C4" s="31"/>
      <c r="D4" s="31"/>
      <c r="E4" s="32"/>
      <c r="F4" s="13"/>
      <c r="G4" s="15"/>
      <c r="H4" s="52" t="s">
        <v>37</v>
      </c>
      <c r="I4" s="52"/>
      <c r="J4" s="53"/>
      <c r="K4" s="79"/>
      <c r="L4" s="76"/>
      <c r="M4" s="76"/>
      <c r="N4" s="81"/>
      <c r="O4" s="81"/>
      <c r="P4" s="81"/>
      <c r="Q4" s="78"/>
      <c r="R4" s="69"/>
      <c r="S4" s="67"/>
      <c r="T4" s="67"/>
      <c r="U4" s="67"/>
      <c r="V4" s="68"/>
    </row>
    <row r="5" spans="1:22" ht="16.75" customHeight="1" x14ac:dyDescent="0.3">
      <c r="A5" s="25"/>
      <c r="B5" s="84" t="s">
        <v>0</v>
      </c>
      <c r="C5" s="84"/>
      <c r="D5" s="84"/>
      <c r="E5" s="84"/>
      <c r="F5" s="84"/>
      <c r="G5" s="106"/>
      <c r="H5" s="107"/>
      <c r="I5" s="91"/>
      <c r="J5" s="91"/>
      <c r="K5" s="40"/>
      <c r="L5" s="85" t="str">
        <f>IF(A5&lt;&gt;"",A5,"")</f>
        <v/>
      </c>
      <c r="M5" s="84" t="str">
        <f>B5</f>
        <v>BINGO</v>
      </c>
      <c r="N5" s="84"/>
      <c r="O5" s="84"/>
      <c r="P5" s="84"/>
      <c r="Q5" s="84"/>
      <c r="R5" s="88">
        <f>G5</f>
        <v>0</v>
      </c>
      <c r="S5" s="89"/>
      <c r="T5" s="91" t="str">
        <f>IF(I5&lt;&gt;"",I5+1,"")</f>
        <v/>
      </c>
      <c r="U5" s="91"/>
      <c r="V5" s="82" t="str">
        <f>IF(K5&lt;&gt;"",K5,"")</f>
        <v/>
      </c>
    </row>
    <row r="6" spans="1:22" ht="17.25" customHeight="1" thickBot="1" x14ac:dyDescent="0.35">
      <c r="A6" s="26"/>
      <c r="B6" s="44"/>
      <c r="C6" s="44"/>
      <c r="D6" s="44"/>
      <c r="E6" s="44"/>
      <c r="F6" s="44"/>
      <c r="G6" s="108"/>
      <c r="H6" s="108"/>
      <c r="I6" s="62"/>
      <c r="J6" s="62"/>
      <c r="K6" s="34"/>
      <c r="L6" s="86"/>
      <c r="M6" s="44"/>
      <c r="N6" s="44"/>
      <c r="O6" s="44"/>
      <c r="P6" s="44"/>
      <c r="Q6" s="44"/>
      <c r="R6" s="90"/>
      <c r="S6" s="90"/>
      <c r="T6" s="62"/>
      <c r="U6" s="62"/>
      <c r="V6" s="83"/>
    </row>
    <row r="7" spans="1:22" ht="50.05" customHeight="1" thickTop="1" thickBot="1" x14ac:dyDescent="0.35">
      <c r="A7" s="26"/>
      <c r="B7" s="16"/>
      <c r="C7" s="17">
        <v>11</v>
      </c>
      <c r="D7" s="17"/>
      <c r="E7" s="17">
        <v>38</v>
      </c>
      <c r="F7" s="17">
        <v>41</v>
      </c>
      <c r="G7" s="17"/>
      <c r="H7" s="17"/>
      <c r="I7" s="17">
        <v>77</v>
      </c>
      <c r="J7" s="18">
        <v>84</v>
      </c>
      <c r="K7" s="34"/>
      <c r="L7" s="86"/>
      <c r="M7" s="16">
        <v>4</v>
      </c>
      <c r="N7" s="17">
        <v>15</v>
      </c>
      <c r="O7" s="17"/>
      <c r="P7" s="17">
        <v>36</v>
      </c>
      <c r="Q7" s="17"/>
      <c r="R7" s="17"/>
      <c r="S7" s="17">
        <v>61</v>
      </c>
      <c r="T7" s="17">
        <v>73</v>
      </c>
      <c r="U7" s="18"/>
      <c r="V7" s="83"/>
    </row>
    <row r="8" spans="1:22" ht="50.05" customHeight="1" thickTop="1" thickBot="1" x14ac:dyDescent="0.35">
      <c r="A8" s="26"/>
      <c r="B8" s="19">
        <v>5</v>
      </c>
      <c r="C8" s="20"/>
      <c r="D8" s="20">
        <v>22</v>
      </c>
      <c r="E8" s="20"/>
      <c r="F8" s="20"/>
      <c r="G8" s="20">
        <v>52</v>
      </c>
      <c r="H8" s="20">
        <v>60</v>
      </c>
      <c r="I8" s="20"/>
      <c r="J8" s="21">
        <v>90</v>
      </c>
      <c r="K8" s="34"/>
      <c r="L8" s="86"/>
      <c r="M8" s="19"/>
      <c r="N8" s="20">
        <v>17</v>
      </c>
      <c r="O8" s="20">
        <v>26</v>
      </c>
      <c r="P8" s="20"/>
      <c r="Q8" s="20">
        <v>48</v>
      </c>
      <c r="R8" s="20">
        <v>53</v>
      </c>
      <c r="S8" s="20"/>
      <c r="T8" s="20"/>
      <c r="U8" s="21">
        <v>82</v>
      </c>
      <c r="V8" s="83"/>
    </row>
    <row r="9" spans="1:22" ht="50.05" customHeight="1" thickTop="1" thickBot="1" x14ac:dyDescent="0.35">
      <c r="A9" s="26"/>
      <c r="B9" s="22"/>
      <c r="C9" s="23">
        <v>14</v>
      </c>
      <c r="D9" s="23">
        <v>28</v>
      </c>
      <c r="E9" s="23"/>
      <c r="F9" s="23">
        <v>43</v>
      </c>
      <c r="G9" s="23">
        <v>57</v>
      </c>
      <c r="H9" s="23"/>
      <c r="I9" s="23">
        <v>79</v>
      </c>
      <c r="J9" s="24"/>
      <c r="K9" s="34"/>
      <c r="L9" s="86"/>
      <c r="M9" s="22">
        <v>7</v>
      </c>
      <c r="N9" s="23"/>
      <c r="O9" s="23"/>
      <c r="P9" s="23">
        <v>39</v>
      </c>
      <c r="Q9" s="23"/>
      <c r="R9" s="23">
        <v>56</v>
      </c>
      <c r="S9" s="23">
        <v>67</v>
      </c>
      <c r="T9" s="23"/>
      <c r="U9" s="24">
        <v>86</v>
      </c>
      <c r="V9" s="83"/>
    </row>
    <row r="10" spans="1:22" ht="13" customHeight="1" thickTop="1" thickBot="1" x14ac:dyDescent="0.35">
      <c r="A10" s="26"/>
      <c r="B10" s="54"/>
      <c r="C10" s="54"/>
      <c r="D10" s="54"/>
      <c r="E10" s="54"/>
      <c r="F10" s="54"/>
      <c r="G10" s="54"/>
      <c r="H10" s="54"/>
      <c r="I10" s="54"/>
      <c r="J10" s="54"/>
      <c r="K10" s="41"/>
      <c r="L10" s="87"/>
      <c r="M10" s="54"/>
      <c r="N10" s="54"/>
      <c r="O10" s="54"/>
      <c r="P10" s="54"/>
      <c r="Q10" s="54"/>
      <c r="R10" s="54"/>
      <c r="S10" s="54"/>
      <c r="T10" s="54"/>
      <c r="U10" s="54"/>
      <c r="V10" s="83"/>
    </row>
    <row r="11" spans="1:22" ht="16.75" customHeight="1" x14ac:dyDescent="0.3">
      <c r="A11" s="38" t="str">
        <f>IF(A5&lt;&gt;"",A5,"")</f>
        <v/>
      </c>
      <c r="B11" s="43" t="str">
        <f>B5</f>
        <v>BINGO</v>
      </c>
      <c r="C11" s="43"/>
      <c r="D11" s="43"/>
      <c r="E11" s="43"/>
      <c r="F11" s="43"/>
      <c r="G11" s="45">
        <f>G5</f>
        <v>0</v>
      </c>
      <c r="H11" s="46"/>
      <c r="I11" s="61" t="str">
        <f>IF(I5&lt;&gt;"",I5+2,"")</f>
        <v/>
      </c>
      <c r="J11" s="61"/>
      <c r="K11" s="33" t="str">
        <f>IF(K5&lt;&gt;"",K5,"")</f>
        <v/>
      </c>
      <c r="L11" s="111" t="str">
        <f>IF(A5&lt;&gt;"",A5,"")</f>
        <v/>
      </c>
      <c r="M11" s="43" t="str">
        <f>B5</f>
        <v>BINGO</v>
      </c>
      <c r="N11" s="43"/>
      <c r="O11" s="43"/>
      <c r="P11" s="43"/>
      <c r="Q11" s="43"/>
      <c r="R11" s="45">
        <f>G5</f>
        <v>0</v>
      </c>
      <c r="S11" s="46"/>
      <c r="T11" s="61" t="str">
        <f>IF(I5&lt;&gt;"",I5+3,"")</f>
        <v/>
      </c>
      <c r="U11" s="61"/>
      <c r="V11" s="124" t="str">
        <f>IF(K5&lt;&gt;"",K5,"")</f>
        <v/>
      </c>
    </row>
    <row r="12" spans="1:22" ht="17.25" customHeight="1" thickBot="1" x14ac:dyDescent="0.35">
      <c r="A12" s="26"/>
      <c r="B12" s="44"/>
      <c r="C12" s="44"/>
      <c r="D12" s="44"/>
      <c r="E12" s="44"/>
      <c r="F12" s="44"/>
      <c r="G12" s="47"/>
      <c r="H12" s="47"/>
      <c r="I12" s="62"/>
      <c r="J12" s="62"/>
      <c r="K12" s="34"/>
      <c r="L12" s="112"/>
      <c r="M12" s="44"/>
      <c r="N12" s="44"/>
      <c r="O12" s="44"/>
      <c r="P12" s="44"/>
      <c r="Q12" s="44"/>
      <c r="R12" s="47"/>
      <c r="S12" s="47"/>
      <c r="T12" s="62"/>
      <c r="U12" s="62"/>
      <c r="V12" s="83"/>
    </row>
    <row r="13" spans="1:22" ht="50.05" customHeight="1" thickTop="1" thickBot="1" x14ac:dyDescent="0.35">
      <c r="A13" s="26"/>
      <c r="B13" s="16">
        <v>6</v>
      </c>
      <c r="C13" s="17">
        <v>12</v>
      </c>
      <c r="D13" s="17"/>
      <c r="E13" s="17">
        <v>31</v>
      </c>
      <c r="F13" s="17"/>
      <c r="G13" s="17">
        <v>54</v>
      </c>
      <c r="H13" s="17">
        <v>65</v>
      </c>
      <c r="I13" s="17"/>
      <c r="J13" s="18"/>
      <c r="K13" s="34"/>
      <c r="L13" s="112"/>
      <c r="M13" s="16"/>
      <c r="N13" s="17">
        <v>16</v>
      </c>
      <c r="O13" s="17">
        <v>20</v>
      </c>
      <c r="P13" s="17"/>
      <c r="Q13" s="17">
        <v>42</v>
      </c>
      <c r="R13" s="17">
        <v>50</v>
      </c>
      <c r="S13" s="17"/>
      <c r="T13" s="17">
        <v>72</v>
      </c>
      <c r="U13" s="18"/>
      <c r="V13" s="83"/>
    </row>
    <row r="14" spans="1:22" ht="50.05" customHeight="1" thickTop="1" thickBot="1" x14ac:dyDescent="0.35">
      <c r="A14" s="26"/>
      <c r="B14" s="19">
        <v>9</v>
      </c>
      <c r="C14" s="20"/>
      <c r="D14" s="20">
        <v>21</v>
      </c>
      <c r="E14" s="20">
        <v>34</v>
      </c>
      <c r="F14" s="20"/>
      <c r="G14" s="20">
        <v>58</v>
      </c>
      <c r="H14" s="20"/>
      <c r="I14" s="20"/>
      <c r="J14" s="21">
        <v>80</v>
      </c>
      <c r="K14" s="34"/>
      <c r="L14" s="112"/>
      <c r="M14" s="19"/>
      <c r="N14" s="20">
        <v>18</v>
      </c>
      <c r="O14" s="20"/>
      <c r="P14" s="20">
        <v>33</v>
      </c>
      <c r="Q14" s="20">
        <v>49</v>
      </c>
      <c r="R14" s="20"/>
      <c r="S14" s="20"/>
      <c r="T14" s="20">
        <v>76</v>
      </c>
      <c r="U14" s="21">
        <v>85</v>
      </c>
      <c r="V14" s="83"/>
    </row>
    <row r="15" spans="1:22" ht="50.05" customHeight="1" thickTop="1" thickBot="1" x14ac:dyDescent="0.35">
      <c r="A15" s="26"/>
      <c r="B15" s="22"/>
      <c r="C15" s="23">
        <v>13</v>
      </c>
      <c r="D15" s="23">
        <v>24</v>
      </c>
      <c r="E15" s="23"/>
      <c r="F15" s="23">
        <v>46</v>
      </c>
      <c r="G15" s="23"/>
      <c r="H15" s="23">
        <v>66</v>
      </c>
      <c r="I15" s="23">
        <v>75</v>
      </c>
      <c r="J15" s="24"/>
      <c r="K15" s="34"/>
      <c r="L15" s="112"/>
      <c r="M15" s="22">
        <v>8</v>
      </c>
      <c r="N15" s="23"/>
      <c r="O15" s="23">
        <v>29</v>
      </c>
      <c r="P15" s="23"/>
      <c r="Q15" s="23"/>
      <c r="R15" s="23">
        <v>55</v>
      </c>
      <c r="S15" s="23">
        <v>68</v>
      </c>
      <c r="T15" s="23"/>
      <c r="U15" s="24">
        <v>87</v>
      </c>
      <c r="V15" s="83"/>
    </row>
    <row r="16" spans="1:22" ht="13" customHeight="1" thickTop="1" thickBot="1" x14ac:dyDescent="0.35">
      <c r="A16" s="39"/>
      <c r="B16" s="54"/>
      <c r="C16" s="54"/>
      <c r="D16" s="54"/>
      <c r="E16" s="54"/>
      <c r="F16" s="54"/>
      <c r="G16" s="54"/>
      <c r="H16" s="54"/>
      <c r="I16" s="54"/>
      <c r="J16" s="54"/>
      <c r="K16" s="34"/>
      <c r="L16" s="112"/>
      <c r="M16" s="54"/>
      <c r="N16" s="54"/>
      <c r="O16" s="54"/>
      <c r="P16" s="54"/>
      <c r="Q16" s="54"/>
      <c r="R16" s="54"/>
      <c r="S16" s="54"/>
      <c r="T16" s="54"/>
      <c r="U16" s="54"/>
      <c r="V16" s="83"/>
    </row>
    <row r="17" spans="1:22" ht="16.75" customHeight="1" x14ac:dyDescent="0.3">
      <c r="A17" s="26" t="str">
        <f>IF(A5&lt;&gt;"",A5,"")</f>
        <v/>
      </c>
      <c r="B17" s="43" t="str">
        <f>B5</f>
        <v>BINGO</v>
      </c>
      <c r="C17" s="43"/>
      <c r="D17" s="43"/>
      <c r="E17" s="43"/>
      <c r="F17" s="43"/>
      <c r="G17" s="45">
        <f>G5</f>
        <v>0</v>
      </c>
      <c r="H17" s="45"/>
      <c r="I17" s="61" t="str">
        <f>IF(I5&lt;&gt;"",I5+4,"")</f>
        <v/>
      </c>
      <c r="J17" s="61"/>
      <c r="K17" s="35" t="str">
        <f>IF(K5&lt;&gt;"",K5,"")</f>
        <v/>
      </c>
      <c r="L17" s="109" t="str">
        <f>IF(A5&lt;&gt;"",A5,"")</f>
        <v/>
      </c>
      <c r="M17" s="43" t="str">
        <f>B5</f>
        <v>BINGO</v>
      </c>
      <c r="N17" s="43"/>
      <c r="O17" s="43"/>
      <c r="P17" s="43"/>
      <c r="Q17" s="43"/>
      <c r="R17" s="45">
        <f>G5</f>
        <v>0</v>
      </c>
      <c r="S17" s="45"/>
      <c r="T17" s="61" t="str">
        <f>IF(I5&lt;&gt;"",I5+5,"")</f>
        <v/>
      </c>
      <c r="U17" s="61"/>
      <c r="V17" s="125" t="str">
        <f>IF(K5&lt;&gt;"",K5,"")</f>
        <v/>
      </c>
    </row>
    <row r="18" spans="1:22" ht="17.25" customHeight="1" thickBot="1" x14ac:dyDescent="0.35">
      <c r="A18" s="26"/>
      <c r="B18" s="44"/>
      <c r="C18" s="44"/>
      <c r="D18" s="44"/>
      <c r="E18" s="44"/>
      <c r="F18" s="44"/>
      <c r="G18" s="60"/>
      <c r="H18" s="60"/>
      <c r="I18" s="62"/>
      <c r="J18" s="62"/>
      <c r="K18" s="36"/>
      <c r="L18" s="86"/>
      <c r="M18" s="44"/>
      <c r="N18" s="44"/>
      <c r="O18" s="44"/>
      <c r="P18" s="44"/>
      <c r="Q18" s="44"/>
      <c r="R18" s="60"/>
      <c r="S18" s="60"/>
      <c r="T18" s="62"/>
      <c r="U18" s="62"/>
      <c r="V18" s="126"/>
    </row>
    <row r="19" spans="1:22" ht="50.05" customHeight="1" thickTop="1" thickBot="1" x14ac:dyDescent="0.35">
      <c r="A19" s="26"/>
      <c r="B19" s="16">
        <v>1</v>
      </c>
      <c r="C19" s="17"/>
      <c r="D19" s="17"/>
      <c r="E19" s="17">
        <v>32</v>
      </c>
      <c r="F19" s="17">
        <v>40</v>
      </c>
      <c r="G19" s="17"/>
      <c r="H19" s="17">
        <v>62</v>
      </c>
      <c r="I19" s="17">
        <v>71</v>
      </c>
      <c r="J19" s="18"/>
      <c r="K19" s="36"/>
      <c r="L19" s="86"/>
      <c r="M19" s="16">
        <v>3</v>
      </c>
      <c r="N19" s="17"/>
      <c r="O19" s="17"/>
      <c r="P19" s="17">
        <v>30</v>
      </c>
      <c r="Q19" s="17">
        <v>44</v>
      </c>
      <c r="R19" s="17"/>
      <c r="S19" s="17"/>
      <c r="T19" s="17">
        <v>70</v>
      </c>
      <c r="U19" s="18">
        <v>81</v>
      </c>
      <c r="V19" s="126"/>
    </row>
    <row r="20" spans="1:22" ht="50.05" customHeight="1" thickTop="1" thickBot="1" x14ac:dyDescent="0.35">
      <c r="A20" s="26"/>
      <c r="B20" s="19"/>
      <c r="C20" s="20"/>
      <c r="D20" s="20">
        <v>23</v>
      </c>
      <c r="E20" s="20"/>
      <c r="F20" s="20">
        <v>45</v>
      </c>
      <c r="G20" s="20">
        <v>51</v>
      </c>
      <c r="H20" s="20"/>
      <c r="I20" s="20">
        <v>74</v>
      </c>
      <c r="J20" s="21">
        <v>88</v>
      </c>
      <c r="K20" s="36"/>
      <c r="L20" s="86"/>
      <c r="M20" s="19"/>
      <c r="N20" s="20"/>
      <c r="O20" s="20">
        <v>25</v>
      </c>
      <c r="P20" s="20">
        <v>37</v>
      </c>
      <c r="Q20" s="20"/>
      <c r="R20" s="20">
        <v>59</v>
      </c>
      <c r="S20" s="20">
        <v>63</v>
      </c>
      <c r="T20" s="20"/>
      <c r="U20" s="21">
        <v>83</v>
      </c>
      <c r="V20" s="126"/>
    </row>
    <row r="21" spans="1:22" ht="50.05" customHeight="1" thickTop="1" thickBot="1" x14ac:dyDescent="0.35">
      <c r="A21" s="26"/>
      <c r="B21" s="22">
        <v>2</v>
      </c>
      <c r="C21" s="23">
        <v>19</v>
      </c>
      <c r="D21" s="23"/>
      <c r="E21" s="23">
        <v>35</v>
      </c>
      <c r="F21" s="23"/>
      <c r="G21" s="23"/>
      <c r="H21" s="23">
        <v>69</v>
      </c>
      <c r="I21" s="23"/>
      <c r="J21" s="24">
        <v>89</v>
      </c>
      <c r="K21" s="36"/>
      <c r="L21" s="86"/>
      <c r="M21" s="22"/>
      <c r="N21" s="23">
        <v>10</v>
      </c>
      <c r="O21" s="23">
        <v>27</v>
      </c>
      <c r="P21" s="23"/>
      <c r="Q21" s="23">
        <v>47</v>
      </c>
      <c r="R21" s="23"/>
      <c r="S21" s="23">
        <v>64</v>
      </c>
      <c r="T21" s="23">
        <v>78</v>
      </c>
      <c r="U21" s="24"/>
      <c r="V21" s="126"/>
    </row>
    <row r="22" spans="1:22" ht="13" customHeight="1" thickTop="1" thickBot="1" x14ac:dyDescent="0.35">
      <c r="A22" s="42"/>
      <c r="B22" s="48"/>
      <c r="C22" s="48"/>
      <c r="D22" s="48"/>
      <c r="E22" s="48"/>
      <c r="F22" s="48"/>
      <c r="G22" s="48"/>
      <c r="H22" s="48"/>
      <c r="I22" s="48"/>
      <c r="J22" s="48"/>
      <c r="K22" s="37"/>
      <c r="L22" s="110"/>
      <c r="M22" s="48"/>
      <c r="N22" s="48"/>
      <c r="O22" s="48"/>
      <c r="P22" s="48"/>
      <c r="Q22" s="48"/>
      <c r="R22" s="48"/>
      <c r="S22" s="48"/>
      <c r="T22" s="48"/>
      <c r="U22" s="48"/>
      <c r="V22" s="127"/>
    </row>
    <row r="23" spans="1:22" ht="16.75" customHeight="1" x14ac:dyDescent="0.3">
      <c r="A23" s="113"/>
      <c r="B23" s="114"/>
      <c r="C23" s="114"/>
      <c r="D23" s="114"/>
      <c r="E23" s="114"/>
      <c r="F23" s="114"/>
      <c r="G23" s="114"/>
      <c r="H23" s="114"/>
      <c r="I23" s="114"/>
      <c r="J23" s="114"/>
      <c r="K23" s="115"/>
      <c r="L23" s="119"/>
      <c r="M23" s="114"/>
      <c r="N23" s="114"/>
      <c r="O23" s="114"/>
      <c r="P23" s="114"/>
      <c r="Q23" s="114"/>
      <c r="R23" s="114"/>
      <c r="S23" s="114"/>
      <c r="T23" s="114"/>
      <c r="U23" s="114"/>
      <c r="V23" s="120"/>
    </row>
    <row r="24" spans="1:22" ht="17.25" customHeight="1" x14ac:dyDescent="0.3">
      <c r="A24" s="95"/>
      <c r="B24" s="77"/>
      <c r="C24" s="77"/>
      <c r="D24" s="77"/>
      <c r="E24" s="77"/>
      <c r="F24" s="77"/>
      <c r="G24" s="77"/>
      <c r="H24" s="77"/>
      <c r="I24" s="77"/>
      <c r="J24" s="77"/>
      <c r="K24" s="96"/>
      <c r="L24" s="102"/>
      <c r="M24" s="77"/>
      <c r="N24" s="77"/>
      <c r="O24" s="77"/>
      <c r="P24" s="77"/>
      <c r="Q24" s="77"/>
      <c r="R24" s="77"/>
      <c r="S24" s="77"/>
      <c r="T24" s="77"/>
      <c r="U24" s="77"/>
      <c r="V24" s="103"/>
    </row>
    <row r="25" spans="1:22" ht="50.05" customHeight="1" x14ac:dyDescent="0.3">
      <c r="A25" s="95"/>
      <c r="B25" s="77"/>
      <c r="C25" s="77"/>
      <c r="D25" s="77"/>
      <c r="E25" s="77"/>
      <c r="F25" s="77"/>
      <c r="G25" s="77"/>
      <c r="H25" s="77"/>
      <c r="I25" s="77"/>
      <c r="J25" s="77"/>
      <c r="K25" s="96"/>
      <c r="L25" s="102"/>
      <c r="M25" s="77"/>
      <c r="N25" s="77"/>
      <c r="O25" s="77"/>
      <c r="P25" s="77"/>
      <c r="Q25" s="77"/>
      <c r="R25" s="77"/>
      <c r="S25" s="77"/>
      <c r="T25" s="77"/>
      <c r="U25" s="77"/>
      <c r="V25" s="103"/>
    </row>
    <row r="26" spans="1:22" ht="50.05" customHeight="1" x14ac:dyDescent="0.3">
      <c r="A26" s="95"/>
      <c r="B26" s="77"/>
      <c r="C26" s="77"/>
      <c r="D26" s="77"/>
      <c r="E26" s="77"/>
      <c r="F26" s="77"/>
      <c r="G26" s="77"/>
      <c r="H26" s="77"/>
      <c r="I26" s="77"/>
      <c r="J26" s="77"/>
      <c r="K26" s="96"/>
      <c r="L26" s="102"/>
      <c r="M26" s="77"/>
      <c r="N26" s="77"/>
      <c r="O26" s="77"/>
      <c r="P26" s="77"/>
      <c r="Q26" s="77"/>
      <c r="R26" s="77"/>
      <c r="S26" s="77"/>
      <c r="T26" s="77"/>
      <c r="U26" s="77"/>
      <c r="V26" s="103"/>
    </row>
    <row r="27" spans="1:22" ht="50.05" customHeight="1" x14ac:dyDescent="0.3">
      <c r="A27" s="95"/>
      <c r="B27" s="77"/>
      <c r="C27" s="77"/>
      <c r="D27" s="77"/>
      <c r="E27" s="77"/>
      <c r="F27" s="77"/>
      <c r="G27" s="77"/>
      <c r="H27" s="77"/>
      <c r="I27" s="77"/>
      <c r="J27" s="77"/>
      <c r="K27" s="96"/>
      <c r="L27" s="102"/>
      <c r="M27" s="77"/>
      <c r="N27" s="77"/>
      <c r="O27" s="77"/>
      <c r="P27" s="77"/>
      <c r="Q27" s="77"/>
      <c r="R27" s="77"/>
      <c r="S27" s="77"/>
      <c r="T27" s="77"/>
      <c r="U27" s="77"/>
      <c r="V27" s="103"/>
    </row>
    <row r="28" spans="1:22" ht="13" customHeight="1" thickBot="1" x14ac:dyDescent="0.35">
      <c r="A28" s="116"/>
      <c r="B28" s="117"/>
      <c r="C28" s="117"/>
      <c r="D28" s="117"/>
      <c r="E28" s="117"/>
      <c r="F28" s="117"/>
      <c r="G28" s="117"/>
      <c r="H28" s="117"/>
      <c r="I28" s="117"/>
      <c r="J28" s="117"/>
      <c r="K28" s="118"/>
      <c r="L28" s="121"/>
      <c r="M28" s="117"/>
      <c r="N28" s="117"/>
      <c r="O28" s="117"/>
      <c r="P28" s="117"/>
      <c r="Q28" s="117"/>
      <c r="R28" s="117"/>
      <c r="S28" s="117"/>
      <c r="T28" s="117"/>
      <c r="U28" s="117"/>
      <c r="V28" s="122"/>
    </row>
    <row r="29" spans="1:22" ht="16.75" customHeight="1" x14ac:dyDescent="0.3">
      <c r="A29" s="92"/>
      <c r="B29" s="93"/>
      <c r="C29" s="93"/>
      <c r="D29" s="93"/>
      <c r="E29" s="93"/>
      <c r="F29" s="93"/>
      <c r="G29" s="93"/>
      <c r="H29" s="93"/>
      <c r="I29" s="93"/>
      <c r="J29" s="93"/>
      <c r="K29" s="94"/>
      <c r="L29" s="123"/>
      <c r="M29" s="93"/>
      <c r="N29" s="93"/>
      <c r="O29" s="93"/>
      <c r="P29" s="93"/>
      <c r="Q29" s="93"/>
      <c r="R29" s="93"/>
      <c r="S29" s="93"/>
      <c r="T29" s="93"/>
      <c r="U29" s="93"/>
      <c r="V29" s="101"/>
    </row>
    <row r="30" spans="1:22" ht="17.25" customHeight="1" x14ac:dyDescent="0.3">
      <c r="A30" s="95"/>
      <c r="B30" s="81"/>
      <c r="C30" s="81"/>
      <c r="D30" s="81"/>
      <c r="E30" s="81"/>
      <c r="F30" s="81"/>
      <c r="G30" s="81"/>
      <c r="H30" s="81"/>
      <c r="I30" s="81"/>
      <c r="J30" s="81"/>
      <c r="K30" s="96"/>
      <c r="L30" s="102"/>
      <c r="M30" s="81"/>
      <c r="N30" s="81"/>
      <c r="O30" s="81"/>
      <c r="P30" s="81"/>
      <c r="Q30" s="81"/>
      <c r="R30" s="81"/>
      <c r="S30" s="81"/>
      <c r="T30" s="81"/>
      <c r="U30" s="81"/>
      <c r="V30" s="103"/>
    </row>
    <row r="31" spans="1:22" ht="50.05" customHeight="1" x14ac:dyDescent="0.3">
      <c r="A31" s="95"/>
      <c r="B31" s="81"/>
      <c r="C31" s="81"/>
      <c r="D31" s="81"/>
      <c r="E31" s="81"/>
      <c r="F31" s="81"/>
      <c r="G31" s="81"/>
      <c r="H31" s="81"/>
      <c r="I31" s="81"/>
      <c r="J31" s="81"/>
      <c r="K31" s="96"/>
      <c r="L31" s="102"/>
      <c r="M31" s="81"/>
      <c r="N31" s="81"/>
      <c r="O31" s="81"/>
      <c r="P31" s="81"/>
      <c r="Q31" s="81"/>
      <c r="R31" s="81"/>
      <c r="S31" s="81"/>
      <c r="T31" s="81"/>
      <c r="U31" s="81"/>
      <c r="V31" s="103"/>
    </row>
    <row r="32" spans="1:22" ht="50.05" customHeight="1" x14ac:dyDescent="0.3">
      <c r="A32" s="95"/>
      <c r="B32" s="81"/>
      <c r="C32" s="81"/>
      <c r="D32" s="81"/>
      <c r="E32" s="81"/>
      <c r="F32" s="81"/>
      <c r="G32" s="81"/>
      <c r="H32" s="81"/>
      <c r="I32" s="81"/>
      <c r="J32" s="81"/>
      <c r="K32" s="96"/>
      <c r="L32" s="102"/>
      <c r="M32" s="81"/>
      <c r="N32" s="81"/>
      <c r="O32" s="81"/>
      <c r="P32" s="81"/>
      <c r="Q32" s="81"/>
      <c r="R32" s="81"/>
      <c r="S32" s="81"/>
      <c r="T32" s="81"/>
      <c r="U32" s="81"/>
      <c r="V32" s="103"/>
    </row>
    <row r="33" spans="1:24" ht="50.05" customHeight="1" x14ac:dyDescent="0.3">
      <c r="A33" s="95"/>
      <c r="B33" s="81"/>
      <c r="C33" s="81"/>
      <c r="D33" s="81"/>
      <c r="E33" s="81"/>
      <c r="F33" s="81"/>
      <c r="G33" s="81"/>
      <c r="H33" s="81"/>
      <c r="I33" s="81"/>
      <c r="J33" s="81"/>
      <c r="K33" s="96"/>
      <c r="L33" s="102"/>
      <c r="M33" s="81"/>
      <c r="N33" s="81"/>
      <c r="O33" s="81"/>
      <c r="P33" s="81"/>
      <c r="Q33" s="81"/>
      <c r="R33" s="81"/>
      <c r="S33" s="81"/>
      <c r="T33" s="81"/>
      <c r="U33" s="81"/>
      <c r="V33" s="103"/>
    </row>
    <row r="34" spans="1:24" ht="13" customHeight="1" thickBot="1" x14ac:dyDescent="0.35">
      <c r="A34" s="95"/>
      <c r="B34" s="81"/>
      <c r="C34" s="81"/>
      <c r="D34" s="81"/>
      <c r="E34" s="81"/>
      <c r="F34" s="81"/>
      <c r="G34" s="81"/>
      <c r="H34" s="81"/>
      <c r="I34" s="81"/>
      <c r="J34" s="81"/>
      <c r="K34" s="96"/>
      <c r="L34" s="102"/>
      <c r="M34" s="81"/>
      <c r="N34" s="81"/>
      <c r="O34" s="81"/>
      <c r="P34" s="81"/>
      <c r="Q34" s="81"/>
      <c r="R34" s="81"/>
      <c r="S34" s="81"/>
      <c r="T34" s="81"/>
      <c r="U34" s="81"/>
      <c r="V34" s="103"/>
    </row>
    <row r="35" spans="1:24" ht="16.75" customHeight="1" x14ac:dyDescent="0.3">
      <c r="A35" s="92"/>
      <c r="B35" s="93"/>
      <c r="C35" s="93"/>
      <c r="D35" s="93"/>
      <c r="E35" s="93"/>
      <c r="F35" s="93"/>
      <c r="G35" s="93"/>
      <c r="H35" s="93"/>
      <c r="I35" s="93"/>
      <c r="J35" s="93"/>
      <c r="K35" s="94"/>
      <c r="L35" s="100"/>
      <c r="M35" s="93"/>
      <c r="N35" s="93"/>
      <c r="O35" s="93"/>
      <c r="P35" s="93"/>
      <c r="Q35" s="93"/>
      <c r="R35" s="93"/>
      <c r="S35" s="93"/>
      <c r="T35" s="93"/>
      <c r="U35" s="93"/>
      <c r="V35" s="101"/>
    </row>
    <row r="36" spans="1:24" ht="17.25" customHeight="1" x14ac:dyDescent="0.3">
      <c r="A36" s="95"/>
      <c r="B36" s="81"/>
      <c r="C36" s="81"/>
      <c r="D36" s="81"/>
      <c r="E36" s="81"/>
      <c r="F36" s="81"/>
      <c r="G36" s="81"/>
      <c r="H36" s="81"/>
      <c r="I36" s="81"/>
      <c r="J36" s="81"/>
      <c r="K36" s="96"/>
      <c r="L36" s="102"/>
      <c r="M36" s="81"/>
      <c r="N36" s="81"/>
      <c r="O36" s="81"/>
      <c r="P36" s="81"/>
      <c r="Q36" s="81"/>
      <c r="R36" s="81"/>
      <c r="S36" s="81"/>
      <c r="T36" s="81"/>
      <c r="U36" s="81"/>
      <c r="V36" s="103"/>
    </row>
    <row r="37" spans="1:24" ht="50.05" customHeight="1" x14ac:dyDescent="0.3">
      <c r="A37" s="95"/>
      <c r="B37" s="81"/>
      <c r="C37" s="81"/>
      <c r="D37" s="81"/>
      <c r="E37" s="81"/>
      <c r="F37" s="81"/>
      <c r="G37" s="81"/>
      <c r="H37" s="81"/>
      <c r="I37" s="81"/>
      <c r="J37" s="81"/>
      <c r="K37" s="96"/>
      <c r="L37" s="102"/>
      <c r="M37" s="81"/>
      <c r="N37" s="81"/>
      <c r="O37" s="81"/>
      <c r="P37" s="81"/>
      <c r="Q37" s="81"/>
      <c r="R37" s="81"/>
      <c r="S37" s="81"/>
      <c r="T37" s="81"/>
      <c r="U37" s="81"/>
      <c r="V37" s="103"/>
    </row>
    <row r="38" spans="1:24" ht="50.05" customHeight="1" x14ac:dyDescent="0.3">
      <c r="A38" s="95"/>
      <c r="B38" s="81"/>
      <c r="C38" s="81"/>
      <c r="D38" s="81"/>
      <c r="E38" s="81"/>
      <c r="F38" s="81"/>
      <c r="G38" s="81"/>
      <c r="H38" s="81"/>
      <c r="I38" s="81"/>
      <c r="J38" s="81"/>
      <c r="K38" s="96"/>
      <c r="L38" s="102"/>
      <c r="M38" s="81"/>
      <c r="N38" s="81"/>
      <c r="O38" s="81"/>
      <c r="P38" s="81"/>
      <c r="Q38" s="81"/>
      <c r="R38" s="81"/>
      <c r="S38" s="81"/>
      <c r="T38" s="81"/>
      <c r="U38" s="81"/>
      <c r="V38" s="103"/>
    </row>
    <row r="39" spans="1:24" ht="50.05" customHeight="1" x14ac:dyDescent="0.3">
      <c r="A39" s="95"/>
      <c r="B39" s="81"/>
      <c r="C39" s="81"/>
      <c r="D39" s="81"/>
      <c r="E39" s="81"/>
      <c r="F39" s="81"/>
      <c r="G39" s="81"/>
      <c r="H39" s="81"/>
      <c r="I39" s="81"/>
      <c r="J39" s="81"/>
      <c r="K39" s="96"/>
      <c r="L39" s="102"/>
      <c r="M39" s="81"/>
      <c r="N39" s="81"/>
      <c r="O39" s="81"/>
      <c r="P39" s="81"/>
      <c r="Q39" s="81"/>
      <c r="R39" s="81"/>
      <c r="S39" s="81"/>
      <c r="T39" s="81"/>
      <c r="U39" s="81"/>
      <c r="V39" s="103"/>
    </row>
    <row r="40" spans="1:24" ht="13" customHeight="1" thickBot="1" x14ac:dyDescent="0.35">
      <c r="A40" s="97"/>
      <c r="B40" s="98"/>
      <c r="C40" s="98"/>
      <c r="D40" s="98"/>
      <c r="E40" s="98"/>
      <c r="F40" s="98"/>
      <c r="G40" s="98"/>
      <c r="H40" s="98"/>
      <c r="I40" s="98"/>
      <c r="J40" s="98"/>
      <c r="K40" s="99"/>
      <c r="L40" s="104"/>
      <c r="M40" s="98"/>
      <c r="N40" s="98"/>
      <c r="O40" s="98"/>
      <c r="P40" s="98"/>
      <c r="Q40" s="98"/>
      <c r="R40" s="98"/>
      <c r="S40" s="98"/>
      <c r="T40" s="98"/>
      <c r="U40" s="98"/>
      <c r="V40" s="105"/>
    </row>
    <row r="41" spans="1:24" ht="12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1"/>
    </row>
    <row r="42" spans="1:24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1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9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140" spans="31:31" x14ac:dyDescent="0.3">
      <c r="AE140" s="8"/>
    </row>
  </sheetData>
  <sheetProtection sheet="1" objects="1" scenarios="1" formatCells="0" selectLockedCells="1"/>
  <mergeCells count="50">
    <mergeCell ref="A35:K40"/>
    <mergeCell ref="L35:V40"/>
    <mergeCell ref="B5:F6"/>
    <mergeCell ref="B16:J16"/>
    <mergeCell ref="I11:J12"/>
    <mergeCell ref="G5:H6"/>
    <mergeCell ref="I5:J6"/>
    <mergeCell ref="L17:L22"/>
    <mergeCell ref="L11:L16"/>
    <mergeCell ref="A23:K28"/>
    <mergeCell ref="L23:V28"/>
    <mergeCell ref="I17:J18"/>
    <mergeCell ref="A29:K34"/>
    <mergeCell ref="L29:V34"/>
    <mergeCell ref="V11:V16"/>
    <mergeCell ref="V17:V22"/>
    <mergeCell ref="R1:V1"/>
    <mergeCell ref="R2:V4"/>
    <mergeCell ref="K1:Q1"/>
    <mergeCell ref="K2:Q4"/>
    <mergeCell ref="V5:V10"/>
    <mergeCell ref="M5:Q6"/>
    <mergeCell ref="L5:L10"/>
    <mergeCell ref="R5:S6"/>
    <mergeCell ref="T5:U6"/>
    <mergeCell ref="M16:U16"/>
    <mergeCell ref="M22:U22"/>
    <mergeCell ref="M10:U10"/>
    <mergeCell ref="M11:Q12"/>
    <mergeCell ref="M17:Q18"/>
    <mergeCell ref="R11:S12"/>
    <mergeCell ref="T11:U12"/>
    <mergeCell ref="R17:S18"/>
    <mergeCell ref="T17:U18"/>
    <mergeCell ref="A5:A10"/>
    <mergeCell ref="A1:E4"/>
    <mergeCell ref="K11:K16"/>
    <mergeCell ref="K17:K22"/>
    <mergeCell ref="A11:A16"/>
    <mergeCell ref="K5:K10"/>
    <mergeCell ref="A17:A22"/>
    <mergeCell ref="B11:F12"/>
    <mergeCell ref="B17:F18"/>
    <mergeCell ref="G11:H12"/>
    <mergeCell ref="B22:J22"/>
    <mergeCell ref="F1:J1"/>
    <mergeCell ref="H4:J4"/>
    <mergeCell ref="B10:J10"/>
    <mergeCell ref="H2:J3"/>
    <mergeCell ref="G17:H18"/>
  </mergeCells>
  <phoneticPr fontId="2" type="noConversion"/>
  <conditionalFormatting sqref="B7:J9 M7:U9 B13:J15 B19:J21 M19:U21 M13:U15">
    <cfRule type="expression" dxfId="0" priority="2" stopIfTrue="1">
      <formula>ISNUMBER(INDIRECT(ADDRESS(ROW(),COLUMN())))=FALSE</formula>
    </cfRule>
  </conditionalFormatting>
  <printOptions horizontalCentered="1" verticalCentered="1"/>
  <pageMargins left="0" right="0" top="0" bottom="0" header="0" footer="0"/>
  <pageSetup paperSize="9" orientation="landscape" r:id="rId1"/>
  <headerFooter alignWithMargins="0"/>
  <rowBreaks count="1" manualBreakCount="1">
    <brk id="22" max="21" man="1"/>
  </rowBreaks>
  <drawing r:id="rId2"/>
  <legacyDrawing r:id="rId3"/>
  <controls>
    <mc:AlternateContent xmlns:mc="http://schemas.openxmlformats.org/markup-compatibility/2006">
      <mc:Choice Requires="x14">
        <control shapeId="2049" r:id="rId4" name="btnCargarMuestra">
          <controlPr defaultSize="0" print="0" autoLine="0" r:id="rId5">
            <anchor moveWithCells="1" sizeWithCells="1">
              <from>
                <xdr:col>11</xdr:col>
                <xdr:colOff>310243</xdr:colOff>
                <xdr:row>3</xdr:row>
                <xdr:rowOff>5443</xdr:rowOff>
              </from>
              <to>
                <xdr:col>13</xdr:col>
                <xdr:colOff>119743</xdr:colOff>
                <xdr:row>3</xdr:row>
                <xdr:rowOff>636814</xdr:rowOff>
              </to>
            </anchor>
          </controlPr>
        </control>
      </mc:Choice>
      <mc:Fallback>
        <control shapeId="2049" r:id="rId4" name="btnCargarMuestra"/>
      </mc:Fallback>
    </mc:AlternateContent>
    <mc:AlternateContent xmlns:mc="http://schemas.openxmlformats.org/markup-compatibility/2006">
      <mc:Choice Requires="x14">
        <control shapeId="2050" r:id="rId6" name="btn_imprimir">
          <controlPr defaultSize="0" print="0" autoLine="0" autoPict="0" r:id="rId7">
            <anchor moveWithCells="1" sizeWithCells="1">
              <from>
                <xdr:col>14</xdr:col>
                <xdr:colOff>473529</xdr:colOff>
                <xdr:row>3</xdr:row>
                <xdr:rowOff>21771</xdr:rowOff>
              </from>
              <to>
                <xdr:col>16</xdr:col>
                <xdr:colOff>48986</xdr:colOff>
                <xdr:row>3</xdr:row>
                <xdr:rowOff>631371</xdr:rowOff>
              </to>
            </anchor>
          </controlPr>
        </control>
      </mc:Choice>
      <mc:Fallback>
        <control shapeId="2050" r:id="rId6" name="btn_imprimir"/>
      </mc:Fallback>
    </mc:AlternateContent>
    <mc:AlternateContent xmlns:mc="http://schemas.openxmlformats.org/markup-compatibility/2006">
      <mc:Choice Requires="x14">
        <control shapeId="2054" r:id="rId8" name="btn_sel_margenes">
          <controlPr locked="0" defaultSize="0" print="0" autoLine="0" autoPict="0" r:id="rId9">
            <anchor moveWithCells="1" siz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527957</xdr:colOff>
                <xdr:row>3</xdr:row>
                <xdr:rowOff>163286</xdr:rowOff>
              </to>
            </anchor>
          </controlPr>
        </control>
      </mc:Choice>
      <mc:Fallback>
        <control shapeId="2054" r:id="rId8" name="btn_sel_margenes"/>
      </mc:Fallback>
    </mc:AlternateContent>
    <mc:AlternateContent xmlns:mc="http://schemas.openxmlformats.org/markup-compatibility/2006">
      <mc:Choice Requires="x14">
        <control shapeId="2058" r:id="rId10" name="btncelcartones">
          <controlPr locked="0" defaultSize="0" print="0" autoLine="0" autoPict="0" r:id="rId11">
            <anchor moveWithCells="1" sizeWithCells="1">
              <from>
                <xdr:col>5</xdr:col>
                <xdr:colOff>0</xdr:colOff>
                <xdr:row>3</xdr:row>
                <xdr:rowOff>136071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58" r:id="rId10" name="btncelcartones"/>
      </mc:Fallback>
    </mc:AlternateContent>
    <mc:AlternateContent xmlns:mc="http://schemas.openxmlformats.org/markup-compatibility/2006">
      <mc:Choice Requires="x14">
        <control shapeId="2086" r:id="rId12" name="Label1">
          <controlPr defaultSize="0" autoLine="0" r:id="rId13">
            <anchor moveWithCells="1" sizeWithCells="1">
              <from>
                <xdr:col>17</xdr:col>
                <xdr:colOff>103414</xdr:colOff>
                <xdr:row>1</xdr:row>
                <xdr:rowOff>76200</xdr:rowOff>
              </from>
              <to>
                <xdr:col>18</xdr:col>
                <xdr:colOff>451757</xdr:colOff>
                <xdr:row>1</xdr:row>
                <xdr:rowOff>261257</xdr:rowOff>
              </to>
            </anchor>
          </controlPr>
        </control>
      </mc:Choice>
      <mc:Fallback>
        <control shapeId="2086" r:id="rId12" name="Label1"/>
      </mc:Fallback>
    </mc:AlternateContent>
    <mc:AlternateContent xmlns:mc="http://schemas.openxmlformats.org/markup-compatibility/2006">
      <mc:Choice Requires="x14">
        <control shapeId="2087" r:id="rId14" name="label2">
          <controlPr defaultSize="0" autoLine="0" r:id="rId15">
            <anchor moveWithCells="1" sizeWithCells="1">
              <from>
                <xdr:col>17</xdr:col>
                <xdr:colOff>108857</xdr:colOff>
                <xdr:row>2</xdr:row>
                <xdr:rowOff>27214</xdr:rowOff>
              </from>
              <to>
                <xdr:col>19</xdr:col>
                <xdr:colOff>10886</xdr:colOff>
                <xdr:row>3</xdr:row>
                <xdr:rowOff>16329</xdr:rowOff>
              </to>
            </anchor>
          </controlPr>
        </control>
      </mc:Choice>
      <mc:Fallback>
        <control shapeId="2087" r:id="rId14" name="label2"/>
      </mc:Fallback>
    </mc:AlternateContent>
    <mc:AlternateContent xmlns:mc="http://schemas.openxmlformats.org/markup-compatibility/2006">
      <mc:Choice Requires="x14">
        <control shapeId="2088" r:id="rId16" name="lblNCArtones">
          <controlPr defaultSize="0" autoLine="0" r:id="rId17">
            <anchor moveWithCells="1" sizeWithCells="1">
              <from>
                <xdr:col>18</xdr:col>
                <xdr:colOff>484414</xdr:colOff>
                <xdr:row>1</xdr:row>
                <xdr:rowOff>87086</xdr:rowOff>
              </from>
              <to>
                <xdr:col>20</xdr:col>
                <xdr:colOff>299357</xdr:colOff>
                <xdr:row>1</xdr:row>
                <xdr:rowOff>266700</xdr:rowOff>
              </to>
            </anchor>
          </controlPr>
        </control>
      </mc:Choice>
      <mc:Fallback>
        <control shapeId="2088" r:id="rId16" name="lblNCArtones"/>
      </mc:Fallback>
    </mc:AlternateContent>
    <mc:AlternateContent xmlns:mc="http://schemas.openxmlformats.org/markup-compatibility/2006">
      <mc:Choice Requires="x14">
        <control shapeId="2091" r:id="rId18" name="lblNSeries">
          <controlPr defaultSize="0" autoLine="0" r:id="rId19">
            <anchor moveWithCells="1" sizeWithCells="1">
              <from>
                <xdr:col>18</xdr:col>
                <xdr:colOff>484414</xdr:colOff>
                <xdr:row>2</xdr:row>
                <xdr:rowOff>21771</xdr:rowOff>
              </from>
              <to>
                <xdr:col>20</xdr:col>
                <xdr:colOff>299357</xdr:colOff>
                <xdr:row>3</xdr:row>
                <xdr:rowOff>38100</xdr:rowOff>
              </to>
            </anchor>
          </controlPr>
        </control>
      </mc:Choice>
      <mc:Fallback>
        <control shapeId="2091" r:id="rId18" name="lblNSeries"/>
      </mc:Fallback>
    </mc:AlternateContent>
    <mc:AlternateContent xmlns:mc="http://schemas.openxmlformats.org/markup-compatibility/2006">
      <mc:Choice Requires="x14">
        <control shapeId="2094" r:id="rId20" name="btn_generar_cartones">
          <controlPr defaultSize="0" print="0" autoLine="0" r:id="rId21">
            <anchor moveWithCells="1" sizeWithCells="1">
              <from>
                <xdr:col>18</xdr:col>
                <xdr:colOff>0</xdr:colOff>
                <xdr:row>3</xdr:row>
                <xdr:rowOff>293914</xdr:rowOff>
              </from>
              <to>
                <xdr:col>20</xdr:col>
                <xdr:colOff>201386</xdr:colOff>
                <xdr:row>3</xdr:row>
                <xdr:rowOff>751114</xdr:rowOff>
              </to>
            </anchor>
          </controlPr>
        </control>
      </mc:Choice>
      <mc:Fallback>
        <control shapeId="2094" r:id="rId20" name="btn_generar_cartones"/>
      </mc:Fallback>
    </mc:AlternateContent>
    <mc:AlternateContent xmlns:mc="http://schemas.openxmlformats.org/markup-compatibility/2006">
      <mc:Choice Requires="x14">
        <control shapeId="2096" r:id="rId22" name="Label3">
          <controlPr defaultSize="0" print="0" autoLine="0" r:id="rId23">
            <anchor moveWithCells="1" sizeWithCells="1">
              <from>
                <xdr:col>11</xdr:col>
                <xdr:colOff>130629</xdr:colOff>
                <xdr:row>1</xdr:row>
                <xdr:rowOff>277586</xdr:rowOff>
              </from>
              <to>
                <xdr:col>13</xdr:col>
                <xdr:colOff>255814</xdr:colOff>
                <xdr:row>2</xdr:row>
                <xdr:rowOff>152400</xdr:rowOff>
              </to>
            </anchor>
          </controlPr>
        </control>
      </mc:Choice>
      <mc:Fallback>
        <control shapeId="2096" r:id="rId22" name="Label3"/>
      </mc:Fallback>
    </mc:AlternateContent>
    <mc:AlternateContent xmlns:mc="http://schemas.openxmlformats.org/markup-compatibility/2006">
      <mc:Choice Requires="x14">
        <control shapeId="2097" r:id="rId24" name="Label4">
          <controlPr defaultSize="0" print="0" autoLine="0" autoPict="0" r:id="rId25">
            <anchor moveWithCells="1" sizeWithCells="1">
              <from>
                <xdr:col>14</xdr:col>
                <xdr:colOff>277586</xdr:colOff>
                <xdr:row>2</xdr:row>
                <xdr:rowOff>0</xdr:rowOff>
              </from>
              <to>
                <xdr:col>16</xdr:col>
                <xdr:colOff>277586</xdr:colOff>
                <xdr:row>2</xdr:row>
                <xdr:rowOff>157843</xdr:rowOff>
              </to>
            </anchor>
          </controlPr>
        </control>
      </mc:Choice>
      <mc:Fallback>
        <control shapeId="2097" r:id="rId24" name="Label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ARTONES_SERIES">
    <tabColor indexed="17"/>
  </sheetPr>
  <dimension ref="A1:F181"/>
  <sheetViews>
    <sheetView topLeftCell="A7" zoomScale="160" workbookViewId="0">
      <selection activeCell="A9" sqref="A9"/>
    </sheetView>
  </sheetViews>
  <sheetFormatPr baseColWidth="10" defaultRowHeight="12.45" x14ac:dyDescent="0.3"/>
  <cols>
    <col min="1" max="1" width="36.4609375" style="5" customWidth="1"/>
    <col min="2" max="2" width="12.53515625" style="5" customWidth="1"/>
    <col min="6" max="6" width="2.3828125" bestFit="1" customWidth="1"/>
  </cols>
  <sheetData>
    <row r="1" spans="1:6" ht="12.9" thickBot="1" x14ac:dyDescent="0.35">
      <c r="A1" s="6" t="s">
        <v>2</v>
      </c>
      <c r="B1" s="6" t="s">
        <v>4</v>
      </c>
      <c r="D1" s="7"/>
      <c r="F1" s="4"/>
    </row>
    <row r="2" spans="1:6" x14ac:dyDescent="0.3">
      <c r="A2" s="7" t="s">
        <v>12</v>
      </c>
      <c r="B2" s="7" t="s">
        <v>7</v>
      </c>
    </row>
    <row r="3" spans="1:6" x14ac:dyDescent="0.3">
      <c r="A3" s="7" t="s">
        <v>8</v>
      </c>
      <c r="B3" s="7" t="s">
        <v>7</v>
      </c>
    </row>
    <row r="4" spans="1:6" x14ac:dyDescent="0.3">
      <c r="A4" s="7" t="s">
        <v>13</v>
      </c>
      <c r="B4" s="7" t="s">
        <v>7</v>
      </c>
    </row>
    <row r="5" spans="1:6" x14ac:dyDescent="0.3">
      <c r="A5" s="7" t="s">
        <v>14</v>
      </c>
      <c r="B5" s="7" t="s">
        <v>7</v>
      </c>
    </row>
    <row r="6" spans="1:6" x14ac:dyDescent="0.3">
      <c r="A6" s="7" t="s">
        <v>15</v>
      </c>
      <c r="B6" s="7" t="s">
        <v>7</v>
      </c>
    </row>
    <row r="7" spans="1:6" x14ac:dyDescent="0.3">
      <c r="A7" s="7" t="s">
        <v>9</v>
      </c>
      <c r="B7" s="7" t="s">
        <v>7</v>
      </c>
    </row>
    <row r="8" spans="1:6" x14ac:dyDescent="0.3">
      <c r="A8" s="7" t="s">
        <v>16</v>
      </c>
      <c r="B8" s="7" t="s">
        <v>17</v>
      </c>
    </row>
    <row r="9" spans="1:6" x14ac:dyDescent="0.3">
      <c r="A9" s="7" t="s">
        <v>18</v>
      </c>
      <c r="B9" s="7" t="s">
        <v>17</v>
      </c>
    </row>
    <row r="10" spans="1:6" x14ac:dyDescent="0.3">
      <c r="A10" s="7" t="s">
        <v>19</v>
      </c>
      <c r="B10" s="7" t="s">
        <v>17</v>
      </c>
    </row>
    <row r="11" spans="1:6" x14ac:dyDescent="0.3">
      <c r="A11" s="7" t="s">
        <v>20</v>
      </c>
      <c r="B11" s="7" t="s">
        <v>17</v>
      </c>
    </row>
    <row r="12" spans="1:6" x14ac:dyDescent="0.3">
      <c r="A12" s="7" t="s">
        <v>21</v>
      </c>
      <c r="B12" s="7" t="s">
        <v>17</v>
      </c>
    </row>
    <row r="13" spans="1:6" x14ac:dyDescent="0.3">
      <c r="A13" s="7" t="s">
        <v>22</v>
      </c>
      <c r="B13" s="7" t="s">
        <v>17</v>
      </c>
    </row>
    <row r="14" spans="1:6" x14ac:dyDescent="0.3">
      <c r="A14" s="7" t="s">
        <v>23</v>
      </c>
      <c r="B14" s="7" t="s">
        <v>24</v>
      </c>
    </row>
    <row r="15" spans="1:6" x14ac:dyDescent="0.3">
      <c r="A15" s="7" t="s">
        <v>25</v>
      </c>
      <c r="B15" s="7" t="s">
        <v>24</v>
      </c>
    </row>
    <row r="16" spans="1:6" x14ac:dyDescent="0.3">
      <c r="A16" s="7" t="s">
        <v>26</v>
      </c>
      <c r="B16" s="7" t="s">
        <v>24</v>
      </c>
    </row>
    <row r="17" spans="1:2" x14ac:dyDescent="0.3">
      <c r="A17" s="7" t="s">
        <v>27</v>
      </c>
      <c r="B17" s="7" t="s">
        <v>24</v>
      </c>
    </row>
    <row r="18" spans="1:2" x14ac:dyDescent="0.3">
      <c r="A18" s="7" t="s">
        <v>28</v>
      </c>
      <c r="B18" s="7" t="s">
        <v>24</v>
      </c>
    </row>
    <row r="19" spans="1:2" x14ac:dyDescent="0.3">
      <c r="A19" s="7" t="s">
        <v>29</v>
      </c>
      <c r="B19" s="7" t="s">
        <v>24</v>
      </c>
    </row>
    <row r="20" spans="1:2" x14ac:dyDescent="0.3">
      <c r="A20" s="7" t="s">
        <v>30</v>
      </c>
      <c r="B20" s="7" t="s">
        <v>31</v>
      </c>
    </row>
    <row r="21" spans="1:2" x14ac:dyDescent="0.3">
      <c r="A21" s="7" t="s">
        <v>32</v>
      </c>
      <c r="B21" s="7" t="s">
        <v>31</v>
      </c>
    </row>
    <row r="22" spans="1:2" x14ac:dyDescent="0.3">
      <c r="A22" s="7" t="s">
        <v>33</v>
      </c>
      <c r="B22" s="7" t="s">
        <v>31</v>
      </c>
    </row>
    <row r="23" spans="1:2" x14ac:dyDescent="0.3">
      <c r="A23" s="7" t="s">
        <v>34</v>
      </c>
      <c r="B23" s="7" t="s">
        <v>31</v>
      </c>
    </row>
    <row r="24" spans="1:2" x14ac:dyDescent="0.3">
      <c r="A24" s="7" t="s">
        <v>35</v>
      </c>
      <c r="B24" s="7" t="s">
        <v>31</v>
      </c>
    </row>
    <row r="25" spans="1:2" x14ac:dyDescent="0.3">
      <c r="A25" s="7" t="s">
        <v>36</v>
      </c>
      <c r="B25" s="7" t="s">
        <v>31</v>
      </c>
    </row>
    <row r="26" spans="1:2" x14ac:dyDescent="0.3">
      <c r="A26" s="7" t="s">
        <v>38</v>
      </c>
      <c r="B26" s="7" t="s">
        <v>39</v>
      </c>
    </row>
    <row r="27" spans="1:2" x14ac:dyDescent="0.3">
      <c r="A27" s="7" t="s">
        <v>40</v>
      </c>
      <c r="B27" s="7" t="s">
        <v>39</v>
      </c>
    </row>
    <row r="28" spans="1:2" x14ac:dyDescent="0.3">
      <c r="A28" s="7" t="s">
        <v>41</v>
      </c>
      <c r="B28" s="7" t="s">
        <v>39</v>
      </c>
    </row>
    <row r="29" spans="1:2" x14ac:dyDescent="0.3">
      <c r="A29" s="7" t="s">
        <v>42</v>
      </c>
      <c r="B29" s="7" t="s">
        <v>39</v>
      </c>
    </row>
    <row r="30" spans="1:2" x14ac:dyDescent="0.3">
      <c r="A30" s="7" t="s">
        <v>43</v>
      </c>
      <c r="B30" s="7" t="s">
        <v>39</v>
      </c>
    </row>
    <row r="31" spans="1:2" x14ac:dyDescent="0.3">
      <c r="A31" s="7" t="s">
        <v>44</v>
      </c>
      <c r="B31" s="7" t="s">
        <v>39</v>
      </c>
    </row>
    <row r="32" spans="1:2" x14ac:dyDescent="0.3">
      <c r="A32" s="7" t="s">
        <v>45</v>
      </c>
      <c r="B32" s="7" t="s">
        <v>46</v>
      </c>
    </row>
    <row r="33" spans="1:2" x14ac:dyDescent="0.3">
      <c r="A33" s="7" t="s">
        <v>47</v>
      </c>
      <c r="B33" s="7" t="s">
        <v>46</v>
      </c>
    </row>
    <row r="34" spans="1:2" x14ac:dyDescent="0.3">
      <c r="A34" s="7" t="s">
        <v>48</v>
      </c>
      <c r="B34" s="7" t="s">
        <v>46</v>
      </c>
    </row>
    <row r="35" spans="1:2" x14ac:dyDescent="0.3">
      <c r="A35" s="7" t="s">
        <v>49</v>
      </c>
      <c r="B35" s="7" t="s">
        <v>46</v>
      </c>
    </row>
    <row r="36" spans="1:2" x14ac:dyDescent="0.3">
      <c r="A36" s="7" t="s">
        <v>50</v>
      </c>
      <c r="B36" s="7" t="s">
        <v>46</v>
      </c>
    </row>
    <row r="37" spans="1:2" x14ac:dyDescent="0.3">
      <c r="A37" s="7" t="s">
        <v>51</v>
      </c>
      <c r="B37" s="7" t="s">
        <v>46</v>
      </c>
    </row>
    <row r="38" spans="1:2" x14ac:dyDescent="0.3">
      <c r="A38" s="7" t="s">
        <v>52</v>
      </c>
      <c r="B38" s="7" t="s">
        <v>53</v>
      </c>
    </row>
    <row r="39" spans="1:2" x14ac:dyDescent="0.3">
      <c r="A39" s="7" t="s">
        <v>54</v>
      </c>
      <c r="B39" s="7" t="s">
        <v>53</v>
      </c>
    </row>
    <row r="40" spans="1:2" x14ac:dyDescent="0.3">
      <c r="A40" s="7" t="s">
        <v>55</v>
      </c>
      <c r="B40" s="7" t="s">
        <v>53</v>
      </c>
    </row>
    <row r="41" spans="1:2" x14ac:dyDescent="0.3">
      <c r="A41" s="7" t="s">
        <v>56</v>
      </c>
      <c r="B41" s="7" t="s">
        <v>53</v>
      </c>
    </row>
    <row r="42" spans="1:2" x14ac:dyDescent="0.3">
      <c r="A42" s="7" t="s">
        <v>57</v>
      </c>
      <c r="B42" s="7" t="s">
        <v>53</v>
      </c>
    </row>
    <row r="43" spans="1:2" x14ac:dyDescent="0.3">
      <c r="A43" s="7" t="s">
        <v>58</v>
      </c>
      <c r="B43" s="7" t="s">
        <v>53</v>
      </c>
    </row>
    <row r="44" spans="1:2" x14ac:dyDescent="0.3">
      <c r="A44" s="7" t="s">
        <v>59</v>
      </c>
      <c r="B44" s="7" t="s">
        <v>60</v>
      </c>
    </row>
    <row r="45" spans="1:2" x14ac:dyDescent="0.3">
      <c r="A45" s="7" t="s">
        <v>61</v>
      </c>
      <c r="B45" s="7" t="s">
        <v>60</v>
      </c>
    </row>
    <row r="46" spans="1:2" x14ac:dyDescent="0.3">
      <c r="A46" s="7" t="s">
        <v>62</v>
      </c>
      <c r="B46" s="7" t="s">
        <v>60</v>
      </c>
    </row>
    <row r="47" spans="1:2" x14ac:dyDescent="0.3">
      <c r="A47" s="7" t="s">
        <v>63</v>
      </c>
      <c r="B47" s="7" t="s">
        <v>60</v>
      </c>
    </row>
    <row r="48" spans="1:2" x14ac:dyDescent="0.3">
      <c r="A48" s="7" t="s">
        <v>64</v>
      </c>
      <c r="B48" s="7" t="s">
        <v>60</v>
      </c>
    </row>
    <row r="49" spans="1:2" x14ac:dyDescent="0.3">
      <c r="A49" s="7" t="s">
        <v>65</v>
      </c>
      <c r="B49" s="7" t="s">
        <v>60</v>
      </c>
    </row>
    <row r="50" spans="1:2" x14ac:dyDescent="0.3">
      <c r="A50" s="7" t="s">
        <v>66</v>
      </c>
      <c r="B50" s="7" t="s">
        <v>67</v>
      </c>
    </row>
    <row r="51" spans="1:2" x14ac:dyDescent="0.3">
      <c r="A51" s="7" t="s">
        <v>68</v>
      </c>
      <c r="B51" s="7" t="s">
        <v>67</v>
      </c>
    </row>
    <row r="52" spans="1:2" x14ac:dyDescent="0.3">
      <c r="A52" s="7" t="s">
        <v>69</v>
      </c>
      <c r="B52" s="7" t="s">
        <v>67</v>
      </c>
    </row>
    <row r="53" spans="1:2" x14ac:dyDescent="0.3">
      <c r="A53" s="7" t="s">
        <v>70</v>
      </c>
      <c r="B53" s="7" t="s">
        <v>67</v>
      </c>
    </row>
    <row r="54" spans="1:2" x14ac:dyDescent="0.3">
      <c r="A54" s="7" t="s">
        <v>71</v>
      </c>
      <c r="B54" s="7" t="s">
        <v>67</v>
      </c>
    </row>
    <row r="55" spans="1:2" x14ac:dyDescent="0.3">
      <c r="A55" s="7" t="s">
        <v>72</v>
      </c>
      <c r="B55" s="7" t="s">
        <v>67</v>
      </c>
    </row>
    <row r="56" spans="1:2" x14ac:dyDescent="0.3">
      <c r="A56" s="7" t="s">
        <v>73</v>
      </c>
      <c r="B56" s="7" t="s">
        <v>74</v>
      </c>
    </row>
    <row r="57" spans="1:2" x14ac:dyDescent="0.3">
      <c r="A57" s="7" t="s">
        <v>75</v>
      </c>
      <c r="B57" s="7" t="s">
        <v>74</v>
      </c>
    </row>
    <row r="58" spans="1:2" x14ac:dyDescent="0.3">
      <c r="A58" s="7" t="s">
        <v>76</v>
      </c>
      <c r="B58" s="7" t="s">
        <v>74</v>
      </c>
    </row>
    <row r="59" spans="1:2" x14ac:dyDescent="0.3">
      <c r="A59" s="7" t="s">
        <v>77</v>
      </c>
      <c r="B59" s="7" t="s">
        <v>74</v>
      </c>
    </row>
    <row r="60" spans="1:2" x14ac:dyDescent="0.3">
      <c r="A60" s="7" t="s">
        <v>78</v>
      </c>
      <c r="B60" s="7" t="s">
        <v>74</v>
      </c>
    </row>
    <row r="61" spans="1:2" x14ac:dyDescent="0.3">
      <c r="A61" s="7" t="s">
        <v>79</v>
      </c>
      <c r="B61" s="7" t="s">
        <v>74</v>
      </c>
    </row>
    <row r="62" spans="1:2" x14ac:dyDescent="0.3">
      <c r="A62" s="7" t="s">
        <v>80</v>
      </c>
      <c r="B62" s="7" t="s">
        <v>81</v>
      </c>
    </row>
    <row r="63" spans="1:2" x14ac:dyDescent="0.3">
      <c r="A63" s="7" t="s">
        <v>82</v>
      </c>
      <c r="B63" s="7" t="s">
        <v>81</v>
      </c>
    </row>
    <row r="64" spans="1:2" x14ac:dyDescent="0.3">
      <c r="A64" s="7" t="s">
        <v>83</v>
      </c>
      <c r="B64" s="7" t="s">
        <v>81</v>
      </c>
    </row>
    <row r="65" spans="1:2" x14ac:dyDescent="0.3">
      <c r="A65" s="7" t="s">
        <v>84</v>
      </c>
      <c r="B65" s="7" t="s">
        <v>81</v>
      </c>
    </row>
    <row r="66" spans="1:2" x14ac:dyDescent="0.3">
      <c r="A66" s="7" t="s">
        <v>85</v>
      </c>
      <c r="B66" s="7" t="s">
        <v>81</v>
      </c>
    </row>
    <row r="67" spans="1:2" x14ac:dyDescent="0.3">
      <c r="A67" s="7" t="s">
        <v>86</v>
      </c>
      <c r="B67" s="7" t="s">
        <v>81</v>
      </c>
    </row>
    <row r="68" spans="1:2" x14ac:dyDescent="0.3">
      <c r="A68" s="7" t="s">
        <v>87</v>
      </c>
      <c r="B68" s="7" t="s">
        <v>88</v>
      </c>
    </row>
    <row r="69" spans="1:2" x14ac:dyDescent="0.3">
      <c r="A69" s="7" t="s">
        <v>89</v>
      </c>
      <c r="B69" s="7" t="s">
        <v>88</v>
      </c>
    </row>
    <row r="70" spans="1:2" x14ac:dyDescent="0.3">
      <c r="A70" s="7" t="s">
        <v>90</v>
      </c>
      <c r="B70" s="7" t="s">
        <v>88</v>
      </c>
    </row>
    <row r="71" spans="1:2" x14ac:dyDescent="0.3">
      <c r="A71" s="7" t="s">
        <v>91</v>
      </c>
      <c r="B71" s="7" t="s">
        <v>88</v>
      </c>
    </row>
    <row r="72" spans="1:2" x14ac:dyDescent="0.3">
      <c r="A72" s="7" t="s">
        <v>92</v>
      </c>
      <c r="B72" s="7" t="s">
        <v>88</v>
      </c>
    </row>
    <row r="73" spans="1:2" x14ac:dyDescent="0.3">
      <c r="A73" s="7" t="s">
        <v>93</v>
      </c>
      <c r="B73" s="7" t="s">
        <v>88</v>
      </c>
    </row>
    <row r="74" spans="1:2" x14ac:dyDescent="0.3">
      <c r="A74" s="7" t="s">
        <v>94</v>
      </c>
      <c r="B74" s="7" t="s">
        <v>95</v>
      </c>
    </row>
    <row r="75" spans="1:2" x14ac:dyDescent="0.3">
      <c r="A75" s="7" t="s">
        <v>96</v>
      </c>
      <c r="B75" s="7" t="s">
        <v>95</v>
      </c>
    </row>
    <row r="76" spans="1:2" x14ac:dyDescent="0.3">
      <c r="A76" s="7" t="s">
        <v>97</v>
      </c>
      <c r="B76" s="7" t="s">
        <v>95</v>
      </c>
    </row>
    <row r="77" spans="1:2" x14ac:dyDescent="0.3">
      <c r="A77" s="7" t="s">
        <v>98</v>
      </c>
      <c r="B77" s="7" t="s">
        <v>95</v>
      </c>
    </row>
    <row r="78" spans="1:2" x14ac:dyDescent="0.3">
      <c r="A78" s="7" t="s">
        <v>99</v>
      </c>
      <c r="B78" s="7" t="s">
        <v>95</v>
      </c>
    </row>
    <row r="79" spans="1:2" x14ac:dyDescent="0.3">
      <c r="A79" s="7" t="s">
        <v>100</v>
      </c>
      <c r="B79" s="7" t="s">
        <v>95</v>
      </c>
    </row>
    <row r="80" spans="1:2" x14ac:dyDescent="0.3">
      <c r="A80" s="7" t="s">
        <v>101</v>
      </c>
      <c r="B80" s="7" t="s">
        <v>102</v>
      </c>
    </row>
    <row r="81" spans="1:2" x14ac:dyDescent="0.3">
      <c r="A81" s="7" t="s">
        <v>58</v>
      </c>
      <c r="B81" s="7" t="s">
        <v>102</v>
      </c>
    </row>
    <row r="82" spans="1:2" x14ac:dyDescent="0.3">
      <c r="A82" s="7" t="s">
        <v>103</v>
      </c>
      <c r="B82" s="7" t="s">
        <v>102</v>
      </c>
    </row>
    <row r="83" spans="1:2" x14ac:dyDescent="0.3">
      <c r="A83" s="7" t="s">
        <v>104</v>
      </c>
      <c r="B83" s="7" t="s">
        <v>102</v>
      </c>
    </row>
    <row r="84" spans="1:2" x14ac:dyDescent="0.3">
      <c r="A84" s="7" t="s">
        <v>105</v>
      </c>
      <c r="B84" s="7" t="s">
        <v>102</v>
      </c>
    </row>
    <row r="85" spans="1:2" x14ac:dyDescent="0.3">
      <c r="A85" s="7" t="s">
        <v>106</v>
      </c>
      <c r="B85" s="7" t="s">
        <v>102</v>
      </c>
    </row>
    <row r="86" spans="1:2" x14ac:dyDescent="0.3">
      <c r="A86" s="7" t="s">
        <v>107</v>
      </c>
      <c r="B86" s="7" t="s">
        <v>108</v>
      </c>
    </row>
    <row r="87" spans="1:2" x14ac:dyDescent="0.3">
      <c r="A87" s="7" t="s">
        <v>86</v>
      </c>
      <c r="B87" s="7" t="s">
        <v>108</v>
      </c>
    </row>
    <row r="88" spans="1:2" x14ac:dyDescent="0.3">
      <c r="A88" s="7" t="s">
        <v>109</v>
      </c>
      <c r="B88" s="7" t="s">
        <v>108</v>
      </c>
    </row>
    <row r="89" spans="1:2" x14ac:dyDescent="0.3">
      <c r="A89" s="7" t="s">
        <v>110</v>
      </c>
      <c r="B89" s="7" t="s">
        <v>108</v>
      </c>
    </row>
    <row r="90" spans="1:2" x14ac:dyDescent="0.3">
      <c r="A90" s="7" t="s">
        <v>111</v>
      </c>
      <c r="B90" s="7" t="s">
        <v>108</v>
      </c>
    </row>
    <row r="91" spans="1:2" x14ac:dyDescent="0.3">
      <c r="A91" s="7" t="s">
        <v>112</v>
      </c>
      <c r="B91" s="7" t="s">
        <v>108</v>
      </c>
    </row>
    <row r="92" spans="1:2" x14ac:dyDescent="0.3">
      <c r="A92" s="7" t="s">
        <v>113</v>
      </c>
      <c r="B92" s="7" t="s">
        <v>114</v>
      </c>
    </row>
    <row r="93" spans="1:2" x14ac:dyDescent="0.3">
      <c r="A93" s="7" t="s">
        <v>115</v>
      </c>
      <c r="B93" s="7" t="s">
        <v>114</v>
      </c>
    </row>
    <row r="94" spans="1:2" x14ac:dyDescent="0.3">
      <c r="A94" s="7" t="s">
        <v>116</v>
      </c>
      <c r="B94" s="7" t="s">
        <v>114</v>
      </c>
    </row>
    <row r="95" spans="1:2" x14ac:dyDescent="0.3">
      <c r="A95" s="7" t="s">
        <v>117</v>
      </c>
      <c r="B95" s="7" t="s">
        <v>114</v>
      </c>
    </row>
    <row r="96" spans="1:2" x14ac:dyDescent="0.3">
      <c r="A96" s="7" t="s">
        <v>118</v>
      </c>
      <c r="B96" s="7" t="s">
        <v>114</v>
      </c>
    </row>
    <row r="97" spans="1:2" x14ac:dyDescent="0.3">
      <c r="A97" s="7" t="s">
        <v>119</v>
      </c>
      <c r="B97" s="7" t="s">
        <v>114</v>
      </c>
    </row>
    <row r="98" spans="1:2" x14ac:dyDescent="0.3">
      <c r="A98" s="7" t="s">
        <v>120</v>
      </c>
      <c r="B98" s="7" t="s">
        <v>121</v>
      </c>
    </row>
    <row r="99" spans="1:2" x14ac:dyDescent="0.3">
      <c r="A99" s="7" t="s">
        <v>122</v>
      </c>
      <c r="B99" s="7" t="s">
        <v>121</v>
      </c>
    </row>
    <row r="100" spans="1:2" x14ac:dyDescent="0.3">
      <c r="A100" s="7" t="s">
        <v>123</v>
      </c>
      <c r="B100" s="7" t="s">
        <v>121</v>
      </c>
    </row>
    <row r="101" spans="1:2" x14ac:dyDescent="0.3">
      <c r="A101" s="7" t="s">
        <v>124</v>
      </c>
      <c r="B101" s="7" t="s">
        <v>121</v>
      </c>
    </row>
    <row r="102" spans="1:2" x14ac:dyDescent="0.3">
      <c r="A102" s="7" t="s">
        <v>125</v>
      </c>
      <c r="B102" s="7" t="s">
        <v>121</v>
      </c>
    </row>
    <row r="103" spans="1:2" x14ac:dyDescent="0.3">
      <c r="A103" s="7" t="s">
        <v>126</v>
      </c>
      <c r="B103" s="7" t="s">
        <v>121</v>
      </c>
    </row>
    <row r="104" spans="1:2" x14ac:dyDescent="0.3">
      <c r="A104" s="7" t="s">
        <v>127</v>
      </c>
      <c r="B104" s="7" t="s">
        <v>128</v>
      </c>
    </row>
    <row r="105" spans="1:2" x14ac:dyDescent="0.3">
      <c r="A105" s="7" t="s">
        <v>129</v>
      </c>
      <c r="B105" s="7" t="s">
        <v>128</v>
      </c>
    </row>
    <row r="106" spans="1:2" x14ac:dyDescent="0.3">
      <c r="A106" s="7" t="s">
        <v>130</v>
      </c>
      <c r="B106" s="7" t="s">
        <v>128</v>
      </c>
    </row>
    <row r="107" spans="1:2" x14ac:dyDescent="0.3">
      <c r="A107" s="7" t="s">
        <v>12</v>
      </c>
      <c r="B107" s="7" t="s">
        <v>128</v>
      </c>
    </row>
    <row r="108" spans="1:2" x14ac:dyDescent="0.3">
      <c r="A108" s="7" t="s">
        <v>131</v>
      </c>
      <c r="B108" s="7" t="s">
        <v>128</v>
      </c>
    </row>
    <row r="109" spans="1:2" x14ac:dyDescent="0.3">
      <c r="A109" s="7" t="s">
        <v>132</v>
      </c>
      <c r="B109" s="7" t="s">
        <v>128</v>
      </c>
    </row>
    <row r="110" spans="1:2" x14ac:dyDescent="0.3">
      <c r="A110" s="7" t="s">
        <v>133</v>
      </c>
      <c r="B110" s="7" t="s">
        <v>134</v>
      </c>
    </row>
    <row r="111" spans="1:2" x14ac:dyDescent="0.3">
      <c r="A111" s="7" t="s">
        <v>135</v>
      </c>
      <c r="B111" s="7" t="s">
        <v>134</v>
      </c>
    </row>
    <row r="112" spans="1:2" x14ac:dyDescent="0.3">
      <c r="A112" s="7" t="s">
        <v>136</v>
      </c>
      <c r="B112" s="7" t="s">
        <v>134</v>
      </c>
    </row>
    <row r="113" spans="1:2" x14ac:dyDescent="0.3">
      <c r="A113" s="7" t="s">
        <v>99</v>
      </c>
      <c r="B113" s="7" t="s">
        <v>134</v>
      </c>
    </row>
    <row r="114" spans="1:2" x14ac:dyDescent="0.3">
      <c r="A114" s="7" t="s">
        <v>137</v>
      </c>
      <c r="B114" s="7" t="s">
        <v>134</v>
      </c>
    </row>
    <row r="115" spans="1:2" x14ac:dyDescent="0.3">
      <c r="A115" s="7" t="s">
        <v>138</v>
      </c>
      <c r="B115" s="7" t="s">
        <v>134</v>
      </c>
    </row>
    <row r="116" spans="1:2" x14ac:dyDescent="0.3">
      <c r="A116" s="7" t="s">
        <v>139</v>
      </c>
      <c r="B116" s="7" t="s">
        <v>140</v>
      </c>
    </row>
    <row r="117" spans="1:2" x14ac:dyDescent="0.3">
      <c r="A117" s="7" t="s">
        <v>141</v>
      </c>
      <c r="B117" s="7" t="s">
        <v>140</v>
      </c>
    </row>
    <row r="118" spans="1:2" x14ac:dyDescent="0.3">
      <c r="A118" s="7" t="s">
        <v>142</v>
      </c>
      <c r="B118" s="7" t="s">
        <v>140</v>
      </c>
    </row>
    <row r="119" spans="1:2" x14ac:dyDescent="0.3">
      <c r="A119" s="7" t="s">
        <v>143</v>
      </c>
      <c r="B119" s="7" t="s">
        <v>140</v>
      </c>
    </row>
    <row r="120" spans="1:2" x14ac:dyDescent="0.3">
      <c r="A120" s="7" t="s">
        <v>144</v>
      </c>
      <c r="B120" s="7" t="s">
        <v>140</v>
      </c>
    </row>
    <row r="121" spans="1:2" x14ac:dyDescent="0.3">
      <c r="A121" s="7" t="s">
        <v>145</v>
      </c>
      <c r="B121" s="7" t="s">
        <v>140</v>
      </c>
    </row>
    <row r="122" spans="1:2" x14ac:dyDescent="0.3">
      <c r="A122" s="7" t="s">
        <v>146</v>
      </c>
      <c r="B122" s="7" t="s">
        <v>147</v>
      </c>
    </row>
    <row r="123" spans="1:2" x14ac:dyDescent="0.3">
      <c r="A123" s="7" t="s">
        <v>123</v>
      </c>
      <c r="B123" s="7" t="s">
        <v>147</v>
      </c>
    </row>
    <row r="124" spans="1:2" x14ac:dyDescent="0.3">
      <c r="A124" s="7" t="s">
        <v>148</v>
      </c>
      <c r="B124" s="7" t="s">
        <v>147</v>
      </c>
    </row>
    <row r="125" spans="1:2" x14ac:dyDescent="0.3">
      <c r="A125" s="7" t="s">
        <v>149</v>
      </c>
      <c r="B125" s="7" t="s">
        <v>147</v>
      </c>
    </row>
    <row r="126" spans="1:2" x14ac:dyDescent="0.3">
      <c r="A126" s="7" t="s">
        <v>150</v>
      </c>
      <c r="B126" s="7" t="s">
        <v>147</v>
      </c>
    </row>
    <row r="127" spans="1:2" x14ac:dyDescent="0.3">
      <c r="A127" s="7" t="s">
        <v>151</v>
      </c>
      <c r="B127" s="7" t="s">
        <v>147</v>
      </c>
    </row>
    <row r="128" spans="1:2" x14ac:dyDescent="0.3">
      <c r="A128" s="7" t="s">
        <v>152</v>
      </c>
      <c r="B128" s="7" t="s">
        <v>153</v>
      </c>
    </row>
    <row r="129" spans="1:2" x14ac:dyDescent="0.3">
      <c r="A129" s="7" t="s">
        <v>154</v>
      </c>
      <c r="B129" s="7" t="s">
        <v>153</v>
      </c>
    </row>
    <row r="130" spans="1:2" x14ac:dyDescent="0.3">
      <c r="A130" s="7" t="s">
        <v>155</v>
      </c>
      <c r="B130" s="7" t="s">
        <v>153</v>
      </c>
    </row>
    <row r="131" spans="1:2" x14ac:dyDescent="0.3">
      <c r="A131" s="7" t="s">
        <v>156</v>
      </c>
      <c r="B131" s="7" t="s">
        <v>153</v>
      </c>
    </row>
    <row r="132" spans="1:2" x14ac:dyDescent="0.3">
      <c r="A132" s="7" t="s">
        <v>157</v>
      </c>
      <c r="B132" s="7" t="s">
        <v>153</v>
      </c>
    </row>
    <row r="133" spans="1:2" x14ac:dyDescent="0.3">
      <c r="A133" s="7" t="s">
        <v>158</v>
      </c>
      <c r="B133" s="7" t="s">
        <v>153</v>
      </c>
    </row>
    <row r="134" spans="1:2" x14ac:dyDescent="0.3">
      <c r="A134" s="7" t="s">
        <v>159</v>
      </c>
      <c r="B134" s="7" t="s">
        <v>160</v>
      </c>
    </row>
    <row r="135" spans="1:2" x14ac:dyDescent="0.3">
      <c r="A135" s="7" t="s">
        <v>161</v>
      </c>
      <c r="B135" s="7" t="s">
        <v>160</v>
      </c>
    </row>
    <row r="136" spans="1:2" x14ac:dyDescent="0.3">
      <c r="A136" s="7" t="s">
        <v>162</v>
      </c>
      <c r="B136" s="7" t="s">
        <v>160</v>
      </c>
    </row>
    <row r="137" spans="1:2" x14ac:dyDescent="0.3">
      <c r="A137" s="7" t="s">
        <v>126</v>
      </c>
      <c r="B137" s="7" t="s">
        <v>160</v>
      </c>
    </row>
    <row r="138" spans="1:2" x14ac:dyDescent="0.3">
      <c r="A138" s="7" t="s">
        <v>163</v>
      </c>
      <c r="B138" s="7" t="s">
        <v>160</v>
      </c>
    </row>
    <row r="139" spans="1:2" x14ac:dyDescent="0.3">
      <c r="A139" s="7" t="s">
        <v>164</v>
      </c>
      <c r="B139" s="7" t="s">
        <v>160</v>
      </c>
    </row>
    <row r="140" spans="1:2" x14ac:dyDescent="0.3">
      <c r="A140" s="7" t="s">
        <v>165</v>
      </c>
      <c r="B140" s="7" t="s">
        <v>166</v>
      </c>
    </row>
    <row r="141" spans="1:2" x14ac:dyDescent="0.3">
      <c r="A141" s="7" t="s">
        <v>167</v>
      </c>
      <c r="B141" s="7" t="s">
        <v>166</v>
      </c>
    </row>
    <row r="142" spans="1:2" x14ac:dyDescent="0.3">
      <c r="A142" s="7" t="s">
        <v>168</v>
      </c>
      <c r="B142" s="7" t="s">
        <v>166</v>
      </c>
    </row>
    <row r="143" spans="1:2" x14ac:dyDescent="0.3">
      <c r="A143" s="7" t="s">
        <v>169</v>
      </c>
      <c r="B143" s="7" t="s">
        <v>166</v>
      </c>
    </row>
    <row r="144" spans="1:2" x14ac:dyDescent="0.3">
      <c r="A144" s="7" t="s">
        <v>170</v>
      </c>
      <c r="B144" s="7" t="s">
        <v>166</v>
      </c>
    </row>
    <row r="145" spans="1:2" x14ac:dyDescent="0.3">
      <c r="A145" s="7" t="s">
        <v>171</v>
      </c>
      <c r="B145" s="7" t="s">
        <v>166</v>
      </c>
    </row>
    <row r="146" spans="1:2" x14ac:dyDescent="0.3">
      <c r="A146" s="7" t="s">
        <v>172</v>
      </c>
      <c r="B146" s="7" t="s">
        <v>173</v>
      </c>
    </row>
    <row r="147" spans="1:2" x14ac:dyDescent="0.3">
      <c r="A147" s="7" t="s">
        <v>174</v>
      </c>
      <c r="B147" s="7" t="s">
        <v>173</v>
      </c>
    </row>
    <row r="148" spans="1:2" x14ac:dyDescent="0.3">
      <c r="A148" s="7" t="s">
        <v>175</v>
      </c>
      <c r="B148" s="7" t="s">
        <v>173</v>
      </c>
    </row>
    <row r="149" spans="1:2" x14ac:dyDescent="0.3">
      <c r="A149" s="7" t="s">
        <v>176</v>
      </c>
      <c r="B149" s="7" t="s">
        <v>173</v>
      </c>
    </row>
    <row r="150" spans="1:2" x14ac:dyDescent="0.3">
      <c r="A150" s="7" t="s">
        <v>177</v>
      </c>
      <c r="B150" s="7" t="s">
        <v>173</v>
      </c>
    </row>
    <row r="151" spans="1:2" x14ac:dyDescent="0.3">
      <c r="A151" s="7" t="s">
        <v>178</v>
      </c>
      <c r="B151" s="7" t="s">
        <v>173</v>
      </c>
    </row>
    <row r="152" spans="1:2" x14ac:dyDescent="0.3">
      <c r="A152" s="7" t="s">
        <v>179</v>
      </c>
      <c r="B152" s="7" t="s">
        <v>180</v>
      </c>
    </row>
    <row r="153" spans="1:2" x14ac:dyDescent="0.3">
      <c r="A153" s="7" t="s">
        <v>181</v>
      </c>
      <c r="B153" s="7" t="s">
        <v>180</v>
      </c>
    </row>
    <row r="154" spans="1:2" x14ac:dyDescent="0.3">
      <c r="A154" s="7" t="s">
        <v>182</v>
      </c>
      <c r="B154" s="7" t="s">
        <v>180</v>
      </c>
    </row>
    <row r="155" spans="1:2" x14ac:dyDescent="0.3">
      <c r="A155" s="7" t="s">
        <v>183</v>
      </c>
      <c r="B155" s="7" t="s">
        <v>180</v>
      </c>
    </row>
    <row r="156" spans="1:2" x14ac:dyDescent="0.3">
      <c r="A156" s="7" t="s">
        <v>42</v>
      </c>
      <c r="B156" s="7" t="s">
        <v>180</v>
      </c>
    </row>
    <row r="157" spans="1:2" x14ac:dyDescent="0.3">
      <c r="A157" s="7" t="s">
        <v>184</v>
      </c>
      <c r="B157" s="7" t="s">
        <v>180</v>
      </c>
    </row>
    <row r="158" spans="1:2" x14ac:dyDescent="0.3">
      <c r="A158" s="7" t="s">
        <v>116</v>
      </c>
      <c r="B158" s="7" t="s">
        <v>185</v>
      </c>
    </row>
    <row r="159" spans="1:2" x14ac:dyDescent="0.3">
      <c r="A159" s="7" t="s">
        <v>186</v>
      </c>
      <c r="B159" s="7" t="s">
        <v>185</v>
      </c>
    </row>
    <row r="160" spans="1:2" x14ac:dyDescent="0.3">
      <c r="A160" s="7" t="s">
        <v>187</v>
      </c>
      <c r="B160" s="7" t="s">
        <v>185</v>
      </c>
    </row>
    <row r="161" spans="1:2" x14ac:dyDescent="0.3">
      <c r="A161" s="7" t="s">
        <v>188</v>
      </c>
      <c r="B161" s="7" t="s">
        <v>185</v>
      </c>
    </row>
    <row r="162" spans="1:2" x14ac:dyDescent="0.3">
      <c r="A162" s="7" t="s">
        <v>189</v>
      </c>
      <c r="B162" s="7" t="s">
        <v>185</v>
      </c>
    </row>
    <row r="163" spans="1:2" x14ac:dyDescent="0.3">
      <c r="A163" s="7" t="s">
        <v>190</v>
      </c>
      <c r="B163" s="7" t="s">
        <v>185</v>
      </c>
    </row>
    <row r="164" spans="1:2" x14ac:dyDescent="0.3">
      <c r="A164" s="7" t="s">
        <v>191</v>
      </c>
      <c r="B164" s="7" t="s">
        <v>192</v>
      </c>
    </row>
    <row r="165" spans="1:2" x14ac:dyDescent="0.3">
      <c r="A165" s="7" t="s">
        <v>193</v>
      </c>
      <c r="B165" s="7" t="s">
        <v>192</v>
      </c>
    </row>
    <row r="166" spans="1:2" x14ac:dyDescent="0.3">
      <c r="A166" s="7" t="s">
        <v>194</v>
      </c>
      <c r="B166" s="7" t="s">
        <v>192</v>
      </c>
    </row>
    <row r="167" spans="1:2" x14ac:dyDescent="0.3">
      <c r="A167" s="7" t="s">
        <v>195</v>
      </c>
      <c r="B167" s="7" t="s">
        <v>192</v>
      </c>
    </row>
    <row r="168" spans="1:2" x14ac:dyDescent="0.3">
      <c r="A168" s="7" t="s">
        <v>196</v>
      </c>
      <c r="B168" s="7" t="s">
        <v>192</v>
      </c>
    </row>
    <row r="169" spans="1:2" x14ac:dyDescent="0.3">
      <c r="A169" s="7" t="s">
        <v>197</v>
      </c>
      <c r="B169" s="7" t="s">
        <v>192</v>
      </c>
    </row>
    <row r="170" spans="1:2" x14ac:dyDescent="0.3">
      <c r="A170" s="7" t="s">
        <v>198</v>
      </c>
      <c r="B170" s="7" t="s">
        <v>199</v>
      </c>
    </row>
    <row r="171" spans="1:2" x14ac:dyDescent="0.3">
      <c r="A171" s="7" t="s">
        <v>200</v>
      </c>
      <c r="B171" s="7" t="s">
        <v>199</v>
      </c>
    </row>
    <row r="172" spans="1:2" x14ac:dyDescent="0.3">
      <c r="A172" s="7" t="s">
        <v>201</v>
      </c>
      <c r="B172" s="7" t="s">
        <v>199</v>
      </c>
    </row>
    <row r="173" spans="1:2" x14ac:dyDescent="0.3">
      <c r="A173" s="7" t="s">
        <v>202</v>
      </c>
      <c r="B173" s="7" t="s">
        <v>199</v>
      </c>
    </row>
    <row r="174" spans="1:2" x14ac:dyDescent="0.3">
      <c r="A174" s="7" t="s">
        <v>203</v>
      </c>
      <c r="B174" s="7" t="s">
        <v>199</v>
      </c>
    </row>
    <row r="175" spans="1:2" x14ac:dyDescent="0.3">
      <c r="A175" s="7" t="s">
        <v>204</v>
      </c>
      <c r="B175" s="7" t="s">
        <v>199</v>
      </c>
    </row>
    <row r="176" spans="1:2" x14ac:dyDescent="0.3">
      <c r="A176" s="7" t="s">
        <v>205</v>
      </c>
      <c r="B176" s="7" t="s">
        <v>206</v>
      </c>
    </row>
    <row r="177" spans="1:2" x14ac:dyDescent="0.3">
      <c r="A177" s="7" t="s">
        <v>207</v>
      </c>
      <c r="B177" s="7" t="s">
        <v>206</v>
      </c>
    </row>
    <row r="178" spans="1:2" x14ac:dyDescent="0.3">
      <c r="A178" s="7" t="s">
        <v>208</v>
      </c>
      <c r="B178" s="7" t="s">
        <v>206</v>
      </c>
    </row>
    <row r="179" spans="1:2" x14ac:dyDescent="0.3">
      <c r="A179" s="7" t="s">
        <v>209</v>
      </c>
      <c r="B179" s="7" t="s">
        <v>206</v>
      </c>
    </row>
    <row r="180" spans="1:2" x14ac:dyDescent="0.3">
      <c r="A180" s="7" t="s">
        <v>210</v>
      </c>
      <c r="B180" s="7" t="s">
        <v>206</v>
      </c>
    </row>
    <row r="181" spans="1:2" x14ac:dyDescent="0.3">
      <c r="A181" s="7" t="s">
        <v>211</v>
      </c>
      <c r="B181" s="7" t="s">
        <v>206</v>
      </c>
    </row>
  </sheetData>
  <sheetProtection sheet="1" objects="1" scenarios="1" selectLockedCells="1" selectUnlockedCells="1"/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NUMEROS">
    <tabColor indexed="53"/>
  </sheetPr>
  <dimension ref="A1:A25"/>
  <sheetViews>
    <sheetView topLeftCell="A1396" workbookViewId="0">
      <selection activeCell="A5" sqref="A5"/>
    </sheetView>
  </sheetViews>
  <sheetFormatPr baseColWidth="10" defaultRowHeight="12.45" x14ac:dyDescent="0.3"/>
  <cols>
    <col min="1" max="1" width="35.921875" style="5" bestFit="1" customWidth="1"/>
  </cols>
  <sheetData>
    <row r="1" spans="1:1" ht="12.9" thickBot="1" x14ac:dyDescent="0.35">
      <c r="A1" s="10" t="s">
        <v>3</v>
      </c>
    </row>
    <row r="2" spans="1:1" x14ac:dyDescent="0.3">
      <c r="A2" s="7" t="s">
        <v>212</v>
      </c>
    </row>
    <row r="3" spans="1:1" x14ac:dyDescent="0.3">
      <c r="A3" s="7" t="s">
        <v>213</v>
      </c>
    </row>
    <row r="4" spans="1:1" x14ac:dyDescent="0.3">
      <c r="A4" s="7" t="s">
        <v>214</v>
      </c>
    </row>
    <row r="5" spans="1:1" x14ac:dyDescent="0.3">
      <c r="A5" s="7" t="s">
        <v>215</v>
      </c>
    </row>
    <row r="6" spans="1:1" x14ac:dyDescent="0.3">
      <c r="A6" s="7" t="s">
        <v>216</v>
      </c>
    </row>
    <row r="7" spans="1:1" x14ac:dyDescent="0.3">
      <c r="A7" s="7" t="s">
        <v>217</v>
      </c>
    </row>
    <row r="8" spans="1:1" x14ac:dyDescent="0.3">
      <c r="A8" s="7" t="s">
        <v>218</v>
      </c>
    </row>
    <row r="9" spans="1:1" x14ac:dyDescent="0.3">
      <c r="A9" s="7" t="s">
        <v>219</v>
      </c>
    </row>
    <row r="10" spans="1:1" x14ac:dyDescent="0.3">
      <c r="A10" s="7" t="s">
        <v>220</v>
      </c>
    </row>
    <row r="11" spans="1:1" x14ac:dyDescent="0.3">
      <c r="A11" s="7" t="s">
        <v>221</v>
      </c>
    </row>
    <row r="12" spans="1:1" x14ac:dyDescent="0.3">
      <c r="A12" s="7" t="s">
        <v>222</v>
      </c>
    </row>
    <row r="13" spans="1:1" x14ac:dyDescent="0.3">
      <c r="A13" s="7" t="s">
        <v>223</v>
      </c>
    </row>
    <row r="14" spans="1:1" x14ac:dyDescent="0.3">
      <c r="A14" s="7" t="s">
        <v>224</v>
      </c>
    </row>
    <row r="15" spans="1:1" x14ac:dyDescent="0.3">
      <c r="A15" s="7" t="s">
        <v>225</v>
      </c>
    </row>
    <row r="16" spans="1:1" x14ac:dyDescent="0.3">
      <c r="A16" s="7" t="s">
        <v>226</v>
      </c>
    </row>
    <row r="17" spans="1:1" x14ac:dyDescent="0.3">
      <c r="A17" s="7" t="s">
        <v>227</v>
      </c>
    </row>
    <row r="18" spans="1:1" x14ac:dyDescent="0.3">
      <c r="A18" s="7" t="s">
        <v>228</v>
      </c>
    </row>
    <row r="19" spans="1:1" x14ac:dyDescent="0.3">
      <c r="A19" s="7" t="s">
        <v>229</v>
      </c>
    </row>
    <row r="20" spans="1:1" x14ac:dyDescent="0.3">
      <c r="A20" s="7" t="s">
        <v>230</v>
      </c>
    </row>
    <row r="21" spans="1:1" x14ac:dyDescent="0.3">
      <c r="A21" s="7" t="s">
        <v>231</v>
      </c>
    </row>
    <row r="22" spans="1:1" x14ac:dyDescent="0.3">
      <c r="A22" s="7" t="s">
        <v>232</v>
      </c>
    </row>
    <row r="23" spans="1:1" x14ac:dyDescent="0.3">
      <c r="A23" s="7" t="s">
        <v>233</v>
      </c>
    </row>
    <row r="24" spans="1:1" x14ac:dyDescent="0.3">
      <c r="A24" s="7" t="s">
        <v>234</v>
      </c>
    </row>
    <row r="25" spans="1:1" x14ac:dyDescent="0.3">
      <c r="A25" s="7" t="s">
        <v>235</v>
      </c>
    </row>
  </sheetData>
  <sheetProtection sheet="1" objects="1" scenarios="1" selectLockedCells="1" selectUnlockedCells="1"/>
  <phoneticPr fontId="2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16</vt:i4>
      </vt:variant>
    </vt:vector>
  </HeadingPairs>
  <TitlesOfParts>
    <vt:vector size="19" baseType="lpstr">
      <vt:lpstr>PRINCIPAL</vt:lpstr>
      <vt:lpstr>cartones_series</vt:lpstr>
      <vt:lpstr>numeros_carton</vt:lpstr>
      <vt:lpstr>PRINCIPAL!Área_de_impresión</vt:lpstr>
      <vt:lpstr>PRINCIPAL!CARTON1</vt:lpstr>
      <vt:lpstr>PRINCIPAL!CARTON2</vt:lpstr>
      <vt:lpstr>PRINCIPAL!CARTON3</vt:lpstr>
      <vt:lpstr>PRINCIPAL!CARTON4</vt:lpstr>
      <vt:lpstr>PRINCIPAL!CARTON5</vt:lpstr>
      <vt:lpstr>PRINCIPAL!CARTON6</vt:lpstr>
      <vt:lpstr>cartones_series!Conectar_con_nuevo_origen_de_datos</vt:lpstr>
      <vt:lpstr>DELANTE_ATRAS</vt:lpstr>
      <vt:lpstr>HOJA_SERIE</vt:lpstr>
      <vt:lpstr>HOJA_TRASERA</vt:lpstr>
      <vt:lpstr>PRINCIPAL!lbl_num_serie</vt:lpstr>
      <vt:lpstr>PRINCIPAL!NUM_HOJAS</vt:lpstr>
      <vt:lpstr>PRINCIPAL!num_serie</vt:lpstr>
      <vt:lpstr>NUMS_CARTONES</vt:lpstr>
      <vt:lpstr>PRINCIPAL!TODOS_CARTONES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davecas89@hotmail.com</dc:creator>
  <cp:lastModifiedBy>David Carrasco Aguado</cp:lastModifiedBy>
  <cp:lastPrinted>2021-12-30T20:43:57Z</cp:lastPrinted>
  <dcterms:created xsi:type="dcterms:W3CDTF">2021-11-16T21:39:41Z</dcterms:created>
  <dcterms:modified xsi:type="dcterms:W3CDTF">2021-12-30T21:34:15Z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umscarton">
    <vt:i4>0</vt:i4>
  </property>
</Properties>
</file>